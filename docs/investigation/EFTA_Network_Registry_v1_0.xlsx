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istry" sheetId="1" state="visible" r:id="rId3"/>
    <sheet name="Summary" sheetId="2" state="visible" r:id="rId4"/>
  </sheets>
  <definedNames>
    <definedName function="false" hidden="true" localSheetId="0" name="_xlnm._FilterDatabase" vbProcedure="false">Registry!$A$1:$V$318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<sst xmlns="http://schemas.openxmlformats.org/spreadsheetml/2006/main" count="6400" uniqueCount="2590">
  <si>
    <t xml:space="preserve">ID</t>
  </si>
  <si>
    <t xml:space="preserve">Name</t>
  </si>
  <si>
    <t xml:space="preserve">Tier</t>
  </si>
  <si>
    <t xml:space="preserve">Tier Basis</t>
  </si>
  <si>
    <t xml:space="preserve">Branch</t>
  </si>
  <si>
    <t xml:space="preserve">Operator?</t>
  </si>
  <si>
    <t xml:space="preserve">Client/Abuser?</t>
  </si>
  <si>
    <t xml:space="preserve">Roles</t>
  </si>
  <si>
    <t xml:space="preserve">Knowledge Level</t>
  </si>
  <si>
    <t xml:space="preserve">Knowledge Basis</t>
  </si>
  <si>
    <t xml:space="preserve">Criminal Status</t>
  </si>
  <si>
    <t xml:space="preserve">Civil Status</t>
  </si>
  <si>
    <t xml:space="preserve">Professional Fallout</t>
  </si>
  <si>
    <t xml:space="preserve">Current Status (Jul 2026)</t>
  </si>
  <si>
    <t xml:space="preserve">Alive</t>
  </si>
  <si>
    <t xml:space="preserve">Their Response / Denial</t>
  </si>
  <si>
    <t xml:space="preserve">Allegations (with sources)</t>
  </si>
  <si>
    <t xml:space="preserve">Timeline</t>
  </si>
  <si>
    <t xml:space="preserve">Evidence Caveat</t>
  </si>
  <si>
    <t xml:space="preserve">EFTA Refs</t>
  </si>
  <si>
    <t xml:space="preserve">Sources</t>
  </si>
  <si>
    <t xml:space="preserve">Unverified Flags</t>
  </si>
  <si>
    <t xml:space="preserve">P001</t>
  </si>
  <si>
    <t xml:space="preserve">Ghislaine Maxwell</t>
  </si>
  <si>
    <t xml:space="preserve">T1 — Convicted / Charged</t>
  </si>
  <si>
    <t xml:space="preserve">Convicted December 2021 in SDNY on five counts including sex trafficking of a minor; sentenced to 20 years — the only person convicted of an Epstein-related sex offense.</t>
  </si>
  <si>
    <t xml:space="preserve">principal</t>
  </si>
  <si>
    <t xml:space="preserve">YES</t>
  </si>
  <si>
    <t xml:space="preserve">recruiter, groomer, trafficker, coconspirator, planner, scheduler, operations</t>
  </si>
  <si>
    <t xml:space="preserve">organizer</t>
  </si>
  <si>
    <t xml:space="preserve">The SDNY prosecution memo describes her as 'co-conspirator, recruiter, participant throughout'; the FBI organizational hierarchy places her directly under Epstein for recruitment, grooming and property management; four victims testified against her at trial.</t>
  </si>
  <si>
    <t xml:space="preserve">convicted: Dec 2021 (SDNY), sex trafficking of a minor and related counts; sentenced June 2022 to 20 years; Supreme Court declined review Oct 2025; incarcerated at FPC Bryan, a minimum-security federal prison camp, Bryan, Texas, after an unexplained 2025 transfer from FCI Tallahassee</t>
  </si>
  <si>
    <t xml:space="preserve">Settled Giuffre v. Maxwell (2017, confidential); subject of ongoing civil discovery disputes</t>
  </si>
  <si>
    <t xml:space="preserve">N/A — incarcerated</t>
  </si>
  <si>
    <t xml:space="preserve">Federal inmate, FPC Bryan, as of July 2026. Commutation application pending with the Trump administration; no commutation granted as of 2026-07-31. Whistleblower allegations of preferential treatment triggered a Rep. Raskin probe; Sen. Whitehouse is demanding DOJ documents on the transfer; Raskin filed a House resolution opposing any pardon and a Senate resolution was reported July 29, 2026.</t>
  </si>
  <si>
    <t xml:space="preserve">alive</t>
  </si>
  <si>
    <t xml:space="preserve">Maintains her innocence. Her legal team has consistently argued she was prosecuted for Epstein's crimes. She declined to answer questions in the 2026 congressional context while pursuing clemency.</t>
  </si>
  <si>
    <t xml:space="preserve">• [alleged] Directed a victim to engage in sex acts with Glenn Dubin  (EFTA02731082, p.57)
• [alleged] Told a victim 'she was going to meet a prince and should make him happy and do the exact same things for him that she did for Epstein'  (EFTA02731082, p.57)
• [alleged] Kept binders of nude and partially nude photographs  (EFTA02731082, p.66)
• [court-found] Sex trafficking of a minor, transporting a minor with intent to engage in criminal sexual activity, and related conspiracy counts  (USA v. Maxwell, 20 Cr. 330 (SDNY))
• [alleged] Directed a victim to give erotic massages and engage in sexual activity with Jean-Luc Brunel  (EFTA00263917, Giuffre testimony)
• [alleged] Trafficked the minor Leon Black victim, per the Manhattan DA's briefing to SDNY  (EFTA02731593; EFTA02731636)</t>
  </si>
  <si>
    <t xml:space="preserve">• 2019-07: Named one of four subjects for 'immediate approach' in the SDNY arrest briefing (EFTA01653331)
• 2019-12-19: SDNY prosecution memo anticipates recommending transportation-of-minors charges against her (EFTA02731082 fn.62)
• 2020-07-02: Arrested
• 2021-12-29: Convicted on 5 of 6 counts
• 2022-06: Sentenced to 20 years
• 2025-10: U.S. Supreme Court declines to hear her appeal, exhausting direct review
• 2026-02-10: NPR reports she formally appealed for clemency while declining to answer questions
• 2026-07-29: Senate resolution opposing a pardon reported (Washington Post)</t>
  </si>
  <si>
    <t xml:space="preserve">EFTA02731082, EFTA01653331, EFTA01653420, EFTA00263917, EFTA02731593, EFTA02731636, EFTA01266204</t>
  </si>
  <si>
    <t xml:space="preserve">https://www.nbcnews.com/politics/supreme-court/supreme-court-rejects-epstein-associate-ghislaine-maxwells-appeal-crim-rcna233281
https://www.npr.org/2026/02/10/g-s1-109413/maxwell-appeals-for-clemency
https://thehill.com/homenews/5597856-maxwell-prison-perks-whistleblower/
https://www.washingtonpost.com/nation/2026/07/29/senate-resolution-opposes-pardon-epstein-accomplice-ghislaine-maxwell/
https://www.whitehouse.senate.gov/news/release/whitehouse-renews-demand-for-doj-documents-related-to-unexplained-transfer-of-ghislaine-maxwell-to-cushier-prison/
https://www.nbcnews.com/news/us-news/ghislaine-maxwell-prison-emails-minimum-security-bryan-texas-rcna242218</t>
  </si>
  <si>
    <t xml:space="preserve">P002</t>
  </si>
  <si>
    <t xml:space="preserve">Jean-Luc Brunel</t>
  </si>
  <si>
    <t xml:space="preserve">Arrested December 2020 at Paris CDG and formally charged in France with rape of a minor over 15 and criminal conspiracy to commit sexual assault; died in pre-trial detention February 2022 without trial or conviction.</t>
  </si>
  <si>
    <t xml:space="preserve">recruitment</t>
  </si>
  <si>
    <t xml:space="preserve">recruiter, trafficker, groomer, operations, coconspirator, client</t>
  </si>
  <si>
    <t xml:space="preserve">His business partner Sergio Cordero told the FBI in 2010 that MC2's 'principal business... is to transport underage girls for purposes of sexual pleasure for Brunel and Epstein' and that Brunel 'has always been Epstein's principal supplier of underage girls using MC2 as a cover up.'</t>
  </si>
  <si>
    <t xml:space="preserve">charged: arrested Dec 2020 in France and charged with rape of a minor over 15 and criminal conspiracy to commit sexual assault; died in pre-trial detention 2022-02-19 — never tried, never convicted. Never charged by U.S. authorities.</t>
  </si>
  <si>
    <t xml:space="preserve">Named in Giuffre and other victim litigation; MC2 was central to the recruitment pipeline</t>
  </si>
  <si>
    <t xml:space="preserve">MC2 Model Management collapsed</t>
  </si>
  <si>
    <t xml:space="preserve">Deceased (2022-02-19, age 76). His case is not closed: French prosecutors reopened their probe into Epstein associates including Brunel on 2026-02-20.</t>
  </si>
  <si>
    <t xml:space="preserve">deceased</t>
  </si>
  <si>
    <t xml:space="preserve">Denied all allegations before his death. His lawyers stated his death 'was not guided by guilt but a profound sense of injustice.'</t>
  </si>
  <si>
    <t xml:space="preserve">• [alleged] Used MC2 Model Management as a front to transport underage girls into the United States for sex  (EFTA01657299, FBI internal email, 2010-06-10 (Sergio Cordero interview))
• [alleged] 'Jean Luc Brunel, owner of MC2 Model Management and Jeffrey Epstein engaged in racketeering that involved luring in minor children for sexual play for money'  (EFTA02810334 pp.60-62, JPMorgan Due Diligence Review, April 2011)
• [alleged] Nearly two dozen models said they had been sexually assaulted by Brunel  (CBS 60 Minutes / Diane Sawyer investigation, 1988, reported in EFTA01480954)
• [alleged] French victim testimonies describing models drugged and raped at his home from the 1980s onward  (EFTA00079597, pp.4-5)
• [alleged] Controlled a victim's U.S. visa and, with Epstein, refused to renew it in 2011  (EFTA02731082, pp.47-48)
• [alleged] Brought a 15-year-old to Epstein's island  (EFTA02731082, pp.46-48)
• [alleged] 'Brunel has been reported to have recruited minors for sexual activity with Epstein, and to have himself participated in sexual activity with minors'  (EFTA01653331, SDNY arrest briefing, 2019-07-03)
• [court-found] French charges: rape of a minor under 15, rape of a minor over 15, sexual assault, and participation in an association of criminals  (EFTA00079597; French investigation, Paris)</t>
  </si>
  <si>
    <t xml:space="preserve">• 1978: Co-founds Karin Models, Paris (EFTA01313226; EFTA01480954)
• 1988: CBS 60 Minutes / Diane Sawyer exposé — nearly two dozen models allege sexual assault (EFTA01480954)
• 2004-09: Epstein wires $1M; MC2 founded with Brunel as 85% owner (EFTA01480954)
• 2010-06-10: Sergio Cordero confirms MC2 trafficking purpose to the FBI (EFTA01657299)
• 2019-07: Named one of four SDNY 'immediate approach' targets (EFTA01653331)
• 2019-08-23: Paris Public Prosecutor opens preliminary investigation (EFTA00079597)
• 2020-12-21: Arrested at Paris Charles de Gaulle airport
• 2022-02-19: Found dead by hanging in his cell at La Santé prison, Paris; ruled suicide
• 2026-02-20: French prosecutors REOPEN their probe into Epstein associates, including Brunel</t>
  </si>
  <si>
    <t xml:space="preserve">The corpus at one point describes him as 'a convicted co-conspirator' but cites no conviction document; he was charged and died pre-trial without any conviction. Use 'charged, never tried.'</t>
  </si>
  <si>
    <t xml:space="preserve">EFTA01657299, EFTA02810334, EFTA01480954, EFTA00079597, EFTA02731082, EFTA01653331, EFTA00174043, EFTA01266403</t>
  </si>
  <si>
    <t xml:space="preserve">https://www.democracynow.org/2026/2/20/headlines/french_prosecutors_reopen_probe_into_epstein_associates_including_model_scout_jean_luc_brunel
https://www.nbcnews.com/news/world/modeling-agent-linked-jeffrey-epstein-found-dead-prison-cell-rcna16945
https://www.aljazeera.com/news/2022/2/19/modeling-agent-close-to-epstein-found-dead-in-french-jail</t>
  </si>
  <si>
    <t xml:space="preserve">P003</t>
  </si>
  <si>
    <t xml:space="preserve">Jeffrey Epstein</t>
  </si>
  <si>
    <t xml:space="preserve">Pled guilty to Florida state sex offenses in 2008 and was federally charged by SDNY in July 2019 with sex trafficking of minors and conspiracy; died in custody before trial.</t>
  </si>
  <si>
    <t xml:space="preserve">financier, trafficker, groomer, recruiter, planner, admin, coconspirator, client</t>
  </si>
  <si>
    <t xml:space="preserve">He designed and directed the operation: he personally instructed victims to give 'massages' to named men, directed destruction of contact books and computers during the 2005 Florida investigation, warned departing staff to 'keep your mouth shut', diverted an aircraft to defeat service of an FBI target letter, and built trust instruments containing employment-cliff and 'disloyalty' forfeiture clauses SDNY treated as potential witness intimidation.</t>
  </si>
  <si>
    <t xml:space="preserve">convicted: 2008 Florida state plea (solicitation of prostitution / procuring a minor for prostitution), served 13 of 18 months; charged: July 2019 SDNY indictment for sex trafficking of minors and conspiracy, 19 Cr. 490 (RMB) — died in custody before trial, so never tried on the federal charges</t>
  </si>
  <si>
    <t xml:space="preserve">17+ out-of-court civil settlements documented pre-2011; estate settled multiple victim suits and funded the Epstein Victims' Compensation Program; estate valued at $577,672,654 at death</t>
  </si>
  <si>
    <t xml:space="preserve">Died in custody 2019-08-10; estate wound down through co-executors Darren Indyke and Richard Kahn</t>
  </si>
  <si>
    <t xml:space="preserve">Deceased. Estate administration and the Epstein Victims' Compensation Program continue; his files are the subject of the Epstein Files Transparency Act releases and the June-July 2026 Judge Emmet Sullivan unredaction litigation.</t>
  </si>
  <si>
    <t xml:space="preserve">Denied the federal charges and pleaded not guilty in July 2019; died before trial. His defense maintained the 2007 NPA barred federal prosecution.</t>
  </si>
  <si>
    <t xml:space="preserve">• [alleged] Directed a victim to massage Jes Staley at his New York residence; after she reported being raped, told her 'he left it to [her] and Staley to decide whether to engage in sex'  (EFTA02731082, SDNY prosecution memo, p.32)
• [alleged] Directed the same victim to massage Leon Black; when she complained of Black's sexual contact, 'laughed it off as a funny incident'  (EFTA02731082, p.32)
• [alleged] Directed destruction of contact books and computers from Palm Beach and shredding of Virgin Islands directories during the Florida investigation  (EFTA02731082, pp.40-41)
• [alleged] Wired $1,000,000 in September 2004 to Jean-Luc Brunel's offshore account to found MC2 Model Management, used as a recruitment front  (EFTA01480954; EFTA01657299 (FBI interview of Sergio Cordero, 2010-06-10))
• [court-found] Redirected his aircraft to the U.S. Virgin Islands to prevent FBI service of a target letter on Nadia Marcinkova, then pressured her not to cooperate with the grand jury  (EFTA00081180, plea proffer / Edwards v. Epstein undisputed facts)
• [court-found] Threatened and harassed Sarah Kellen against cooperating against him  (EFTA00081180 ¶20)
• [alleged] Allegedly purchased Nadia Marcinkova from her family in Slovakia at approximately age 14 and brought her to the United States  (EFTA01186070; EFTA00081180)
• [alleged] Directed a $250,000 payment to an assistant in December 2018, days after the Miami Herald series, executed through accountant Richard Kahn  (EFTA02731082, pp.51-52)
• [alleged] 'Virtually all' of his wealth derived from money stolen from Leslie Wexner; 'several hundred million' stolen  (EFTA02731082, pp.64-65)
• [alleged] Devised a GRAT/mutual-release scheme for Leon Black keeping $2B+ in Apollo assets out of Black's taxable estate; was not a CPA or licensed tax attorney  (EFTA02731023, Senate Finance Committee letter, 2023-07-24)</t>
  </si>
  <si>
    <t xml:space="preserve">• 2004-09: Wires $1M to found MC2 Model Management with Brunel (EFTA01480954)
• 2005: Directs destruction of computers and directories during Florida investigation (EFTA02731082)
• 2007-05: AUSA Villafaña completes 82-page prosecution memo and 53-page sealed indictment (EFTA01186070)
• 2007-08-21: Diverts aircraft to block service of Marcinkova target letter (EFTA00081180)
• 2007-09-24: Federal non-prosecution agreement signed (EFTA01186086)
• 2008-06-30: Florida state guilty plea activates the NPA; federal case terminated
• 2012-2017: Receives $158M from Leon Black for 'tax and estate planning services' with no written agreement (EFTA02731023)
• 2019-07-06: Arrested at Teterboro Airport; SDNY indictment, 19 Cr. 490 (RMB)
• 2019-08-08: Executes 2019 Trust restated as 'The 1953 Trust' and his will at MCC (EFTA01266204; EFTA00027979)
• 2019-08-10: Found dead in his MCC cell; ruled suicide</t>
  </si>
  <si>
    <t xml:space="preserve">EFTA02731082, EFTA01186070, EFTA01186086, EFTA00081180, EFTA01266204, EFTA00027979, EFTA01480954, EFTA01657299, EFTA02731023, EFTA01681865</t>
  </si>
  <si>
    <t xml:space="preserve">https://www.britannica.com/topic/The-Epstein-Files-A-Timeline/2026-Contempt-delays-and-more-documents
https://en.wikipedia.org/wiki/Death_of_Jeffrey_Epstein</t>
  </si>
  <si>
    <t xml:space="preserve">P004</t>
  </si>
  <si>
    <t xml:space="preserve">Alan Dershowitz</t>
  </si>
  <si>
    <t xml:space="preserve">T1J — Journal-Named, Contested</t>
  </si>
  <si>
    <t xml:space="preserve">Named as an abuser in the DS12 victim journals and never charged. The underlying journal evidence has not been read by this investigation and was not forensically authenticated — see the publication hold.</t>
  </si>
  <si>
    <t xml:space="preserve">legal-protection</t>
  </si>
  <si>
    <t xml:space="preserve">no</t>
  </si>
  <si>
    <t xml:space="preserve">client, attorney, academic, coconspirator</t>
  </si>
  <si>
    <t xml:space="preserve">actively-involved</t>
  </si>
  <si>
    <t xml:space="preserve">Documented conduct as NPA defense negotiator: delivering victims' MySpace profiles to prosecutors, running background checks on the police chief, and an unscheduled visit to the USAO during negotiations. This establishes active involvement in the protection apparatus, not knowledge of abuse.</t>
  </si>
  <si>
    <t xml:space="preserve">never charged</t>
  </si>
  <si>
    <t xml:space="preserve">Giuffre's sexual-abuse claim and his defamation counterclaim were mutually dropped/settled in November 2022. No finding of liability.</t>
  </si>
  <si>
    <t xml:space="preserve">None traceable to Epstein. Retired as Harvard Law professor emeritus in 2013, before the allegations.</t>
  </si>
  <si>
    <t xml:space="preserve">Emeritus professor, author and commentator as of July 2026. No professional fallout traceable to Epstein.</t>
  </si>
  <si>
    <t xml:space="preserve">Categorically and repeatedly denies any sexual misconduct. Has stated he knows names on an 'Epstein client list' but is 'bound by confidentiality.'</t>
  </si>
  <si>
    <t xml:space="preserve">• [denied] Named as an abuser in forensically authenticated DS12 victim journals; upgraded from Tier 3 to Tier 1 in Entity Database v2.0 on that basis  (EFTA02731420, EFTA02731465 (per EFTA Entity Database v2.0, entry #15))
• [denied] 'Person named in authenticated victim testimony as a participant in the abuse the NPA was designed to shield'  (EFTA02731465; EFTA01656198)
• [withdrawn] Sexual abuse allegation by Virginia Giuffre; her claim and his defamation counterclaim were mutually dropped in November 2022, with Giuffre stating she 'may have made a mistake' in identifying him  (Giuffre v. Dershowitz (SDNY), settled/withdrawn Nov 2022)
• [admitted] Led the eight-lawyer defense team that negotiated the 2007 NPA, including the blanket immunity provision covering unnamed co-conspirators  (2007 Non-Prosecution Agreement; EFTA01657816)
• [alleged] Delivered teenage victims' MySpace profiles to prosecutors to discredit them  (EFTA01688596)
• [alleged] Ran background checks on the Palm Beach police chief  (EFTA01688916)
• [alleged] Made an unscheduled 'drop-in' visit to the U.S. Attorney's Office during NPA negotiations  (EFTA01657816)
• [alleged] Received $100,487 from Epstein accounts (Jan 2015, Mar 2016), including $85,000 to 'Alan Dershowitz Consulting LLC'; Epstein separately paid $37,036 to Coffey Burlington for his legal representation, categorized by Deutsche Bank among co-conspirator legal expenses  (EFTA01681865 Exhibits P and M)
• [alleged] Listed on the FBI PROMINENT NAMES list  (EFTA01648951)</t>
  </si>
  <si>
    <t xml:space="preserve">• 2007: Leads the eight-lawyer team negotiating the NPA; unscheduled drop-in visit to the USAO during negotiations (EFTA01657816)
• 2007-09-24: NPA signed with blanket immunity for 'any potential co-conspirators'
• 2015-01: Receives payment from Epstein accounts (EFTA01681865 Exhibit P)
• 2016-03: Further payment; total $100,487 (EFTA01681865 Exhibit P)
• 2022-11: Giuffre's claim and his defamation counterclaim mutually dropped/settled; Giuffre says she 'may have made a mistake'
• 2026-07: Summoned by House Oversight for a videotaped transcribed interview; backs out / fails to appear
• 2026-07-21: Chairman Comer letter calls the no-show 'unacceptable' and threatens to compel his testimony by subpoena</t>
  </si>
  <si>
    <t xml:space="preserve">⛔ JOURNAL ATTRIBUTION UNSUBSTANTIATED. This person is carried in the project database with source documents EFTA02731420/02731465, but that record contains NO page-level citation and NO quoted journal text naming them. The journal sourcing is asserted, not shown. Separately: the DS12 journals are NOT Virginia Giuffre's — they belong to the Doe v. Black plaintiff (1:23-cv-06418), who was also the JPMorgan claimant before Judge Rakoff (1:22-cv-10019). The database misattributed them to Giuffre throughout, which allowed her separate deposition testimony to be counted as journal corroboration. Any independent evidence for this person (flight logs, black book, sworn testimony) stands on its own and is recorded separately — but the journal claim does not support a Tier 1 classification. AUTHENTICATION: court-appointed examiner Gerald LaPorte could NOT date the journal entries — pencil, aqueous gel/rollerball ink and marker have no reliable dating methodology. "No evidence of recent fabrication" rules out recent wholesale manufacture of the physical books; it authenticates nothing. Judge Rakoff denied the claim 31 Jul 2024. Judge Clarke ordered third-party names in these journals redacted going forward.</t>
  </si>
  <si>
    <t xml:space="preserve">EFTA02731420, EFTA02731465, EFTA01656198, EFTA01688596, EFTA01688916, EFTA01657816, EFTA01681865, EFTA01648951, EFTA01657803</t>
  </si>
  <si>
    <t xml:space="preserve">https://oversight.house.gov/wp-content/uploads/2026/07/Dershowitz-Letter-FINAL-7.21.26.pdf
https://abcnews.com/US/comer-calls-unacceptable-after-alan-dershowitz-fails-panel/story?id=134952381
https://www.foxnews.com/politics/comer-threatens-subpoena-dershowitz-after-he-refuses-epstein-testimony
https://www.thecrimson.com/article/2026/6/13/dershowitz-comer-house-testimony/
https://thehill.com/homenews/administration/5395597-dershowitz-says-he-knows-epstein-client-list-names-but-im-bound-by-confidentiality/</t>
  </si>
  <si>
    <t xml:space="preserve">⚠ No subpoena enforcement outcome verified as of 2026-07-31.
⚠ Sharon Churcher, a Mail on Sunday reporter, suggested including Dershowitz in a victim's account ('We all suspect Alan is a pedo', EFTA02731082 p.59); SDNY used this in a credibility assessment weighing against that victim's allegation. This materially affects how the Giuffre-line allegation should be read.</t>
  </si>
  <si>
    <t xml:space="preserve">P005</t>
  </si>
  <si>
    <t xml:space="preserve">Andrew Mountbatten-Windsor</t>
  </si>
  <si>
    <t xml:space="preserve">client-abuser</t>
  </si>
  <si>
    <t xml:space="preserve">client</t>
  </si>
  <si>
    <t xml:space="preserve">unknown</t>
  </si>
  <si>
    <t xml:space="preserve">No verified evidence establishes his knowledge of the operation's structure. Allegations concern his own alleged conduct, not knowledge of others'.</t>
  </si>
  <si>
    <t xml:space="preserve">arrested, not charged: ARRESTED 2026-02-19 by Thames Valley Police on suspicion of misconduct in public office (alleged sharing of confidential UK government information with Epstein while UK trade envoy, c.2010). Released after approximately 11 hours, 'released under investigation' without restrictions. NOT CHARGED and NOT cleared as of 2026-07-31. The offence carries a maximum of life imprisonment in England and Wales. He has never been criminally charged in the United States.</t>
  </si>
  <si>
    <t xml:space="preserve">Settled Giuffre v. Prince Andrew (Feb 2022, reported ~£12m, no admission of liability; amount never officially confirmed).</t>
  </si>
  <si>
    <t xml:space="preserve">Stripped of remaining royal titles and styles October 2025; ceased being a working royal in 2019; vacated Royal Lodge.</t>
  </si>
  <si>
    <t xml:space="preserve">Private citizen under active police investigation as of July 2026. No public role. Stripped of remaining royal titles and styles in October 2025; ceased being a working royal in 2019; vacated Royal Lodge.</t>
  </si>
  <si>
    <t xml:space="preserve">Has 'always denied any wrongdoing.' Declined comment on the 2026 files and on his arrest. He previously disputed the authenticity of the Giuffre photograph; newly released files contain an email from Ghislaine Maxwell apparently confirming the photo's legitimacy, contradicting his long-standing public position.</t>
  </si>
  <si>
    <t xml:space="preserve">• [denied] Named as an abuser in forensically authenticated DS12 victim journals; upgraded from Tier 3 to Tier 1 in Entity Database v2.0 on that basis  (EFTA02731420, EFTA02731465 (per EFTA Entity Database v2.0, entry #14))
• [denied] Alleged sexual contact via Maxwell 'lending' a victim: 'Maxwell told [her] that she was going to meet a prince and should make him happy and do the exact same things for him that she did for Epstein'  (EFTA02731082, SDNY prosecution memo, pp.7, 57, 59, 60, 65)
• [denied] Virginia Giuffre's testimony of three sexual encounters in 2001, when she was 17  (Giuffre depositions and FBI 302; Giuffre v. Prince Andrew (SDNY))
• [denied] A victim testified she dined with Alberto Pinto before being taken to London for sex with Prince Andrew  (EFTA01681865 Exhibit P (Deutsche Bank payment analysis))
• [alleged] Adriana Ross invoked the Fifth Amendment when questioned about Prince Andrew in deposition testimony  (NPA co-conspirator analysis (EFTA source not stated in corpus))
• [alleged] Misconduct in public office — allegedly sharing confidential UK government information with Epstein while serving as UK trade envoy c.2010  (Thames Valley Police investigation, arrest 2026-02-19)
• [alleged] Listed on the FBI PROMINENT NAMES list  (EFTA01648951)</t>
  </si>
  <si>
    <t xml:space="preserve">• 2000-05-12: Flight log entry (Maxwell Trial Gov't Exhibit 662-RR)
• 2001: Giuffre alleges three sexual encounters, when she was 17
• 2010-09-28: Epstein emails Staley about Andrew's business interests: 'prince Andrew would like much more to represent casanov in china than tim collins' (EFTA00029434)
• 2019: Ceases being a working royal
• 2022-02: Settles Giuffre v. Prince Andrew (reported ~£12m, no admission of liability; amount never officially confirmed)
• 2025-10: Stripped of remaining royal titles and styles
• 2026-02-19: ARRESTED by Thames Valley Police on his 66th birthday on suspicion of misconduct in public office; released after ~11 hours 'under investigation' without restrictions</t>
  </si>
  <si>
    <t xml:space="preserve">PUBLICATION HOLD — the evidentiary chain behind this classification does not hold. (1) SAME JOURNALS: Judge Jessica G. L. Clarke's opinion of 23 Apr 2026 in Jane Doe v. Leon Black, 1:23-cv-06418 (JGLC) (S.D.N.Y.), states the sonograms she found falsified are in 'the journals Plaintiff used and referenced in this action and in the JPMC Action,' and that the JPMC court-appointed expert and Black's expert 'both examined the journals.' The DS12 journals are the ones the corpus says Judge Rakoff ordered examined in the JPMorgan proceeding. Same physical journals, same woman. (2) THE 'FORENSIC AUTHENTICATION' NEVER ESTABLISHED AUTHENTICITY: court-appointed examiner Gerald M. LaPorte could NOT date the entries — pencil, gel/rollerball ink and marker have no reliable dating methodology. He found no evidence of recent purchase or wholesale fabrication, which is an absence of evidence, not an authentication. Judge Rakoff: 'the controversy cannot be resolved through... laboratory analysis.' Rakoff DENIED the claim on 31 Jul 2024; a stipulation mooted the reasoned opinion, so no particularised findings exist. (3) WHAT CLARKE ACTUALLY FOUND: three sonogram photographs physically altered, traced to a 2006 pregnancy rather than 2002-2005. She precluded Journals 2-4 for containing them. She expressly declined to go further — 'the Court cannot conclude that the journals are wholesale fabrications' — and made NO finding about any handwritten entry. Journal 1, which the amended complaint quotes for the assault itself, was NOT precluded. (4) THE RULING NAMES NO ONE ELSE: Clarke's opinion names no men besides Black, Epstein and Maxwell, and she ORDERED third-party names redacted going forward. (5) NOBODY IN THIS INVESTIGATION HAS READ THE JOURNALS. Every name attribution cites only the bare pair EFTA02731420 / EFTA02731465 — no page, no folio, no date — and the corpus never quotes one word of journal text. The names were decoded by Jeanne Christensen, whom Clarke sanctioned for lying repeatedly to the court and directing destruction of evidence. The LaPorte report is not in the corpus and has not been read. CONCLUSION: this is not a contested Tier 1 classification. It is an unread allegation relayed through a sanctioned intermediary from a journal set a court could not date. Do not publish this name on this basis.</t>
  </si>
  <si>
    <t xml:space="preserve">EFTA02731420, EFTA02731465, EFTA02731082, EFTA01648951, EFTA00029434, EFTA01681865</t>
  </si>
  <si>
    <t xml:space="preserve">https://www.cbsnews.com/news/former-prince-andrew-arrested-epstein-files-suspected-misconduct-public-office/
https://www.nbcnews.com/world/united-kingdom/former-prince-andrew-arrested-epstein-files-revelations-rcna259691
https://www.cnn.com/world/live-news/andrew-mountbatten-windsor-arrested-uk-police-02-19-26
https://www.nbcnews.com/politics/justice-department/epstein-files-fallout-resignations-firings-investigations-rcna259702</t>
  </si>
  <si>
    <t xml:space="preserve">⚠ Britannica's 2026 timeline places the arrest on Feb 18; CBS, NBC and CNN all place it on Feb 19 (his 66th birthday). Use Feb 19, 2026.
⚠ The EFTA citation for Adriana Ross's Fifth Amendment invocation regarding Andrew is unsourced in the corpus.</t>
  </si>
  <si>
    <t xml:space="preserve">P006</t>
  </si>
  <si>
    <t xml:space="preserve">Bill Clinton</t>
  </si>
  <si>
    <t xml:space="preserve">client, politician</t>
  </si>
  <si>
    <t xml:space="preserve">never charged. No criminal investigation known.</t>
  </si>
  <si>
    <t xml:space="preserve">none known relating to Epstein</t>
  </si>
  <si>
    <t xml:space="preserve">none</t>
  </si>
  <si>
    <t xml:space="preserve">Former President of the United States; Clinton Foundation. No professional fallout as of July 2026.</t>
  </si>
  <si>
    <t xml:space="preserve">"I saw nothing, and I did nothing wrong." Has consistently said he knew nothing of Epstein's crimes and did not visit the island.</t>
  </si>
  <si>
    <t xml:space="preserve">• [denied] Named as an abuser in forensically authenticated DS12 victim journals; upgraded from Tier 4 to Tier 1 in Entity Database v2.0 on that basis  (EFTA02731420, EFTA02731465 (per EFTA Entity Database v2.0, entry #16))
• [alleged] Listed on the FBI PROMINENT NAMES list; the list's entry content for him is not reproduced in the corpus  (EFTA01648951)
• [alleged] Oct 2009 Peggy Siegal email places Clinton at Ghislaine Maxwell's after-party, post-conviction  (Dataset 9 emails (per Entity Database v2.0))
• [alleged] Epstein invoked the Fifth Amendment on all Clinton questions during his 2016 Giuffre v. Maxwell deposition  (Giuffre v. Maxwell, 15 Cv. 7433 (SDNY))
• [alleged] Flight logs document multiple flights on Epstein aircraft  (Maxwell Trial Gov't Exhibit 662-RR (flight logs))
• [alleged] Listed on a March 2012 'Seminar-POWER' document alongside Gates, Mitchell and Ovitz (surname only; corpus does not identify which Clinton)  (EFTA01983409)</t>
  </si>
  <si>
    <t xml:space="preserve">• 2009-10: Peggy Siegal email places him at a Maxwell after-party (post-conviction)
• 2016: Epstein invokes the Fifth Amendment on all Clinton questions in the Giuffre v. Maxwell deposition
• 2026-01-21: House Oversight votes to hold him and Hillary Clinton in contempt after they initially refused to appear
• 2026-02-03: Both reverse and agree to testify
• 2026-02-26: Testifies before House Oversight (reporting varies between Feb 26 and Feb 27) — first former U.S. president compelled to testify before Congress</t>
  </si>
  <si>
    <t xml:space="preserve">EFTA02731420, EFTA02731465, EFTA01648951, EFTA01983409</t>
  </si>
  <si>
    <t xml:space="preserve">https://www.britannica.com/topic/The-Epstein-Files-A-Timeline/2026-Contempt-delays-and-more-documents
https://www.nbcnews.com/politics/congress/clintons-agree-testify-house-epstein-probe-ahead-contempt-vote-rcna257143
https://www.npr.org/2026/02/03/nx-s1-5697831/clintons-agree-testify-house-epstein-investigation-contempt-congress
https://oversight.house.gov/release/chairman-comer-announces-the-clintons-caved-will-appear-for-depositions/</t>
  </si>
  <si>
    <t xml:space="preserve">⚠ Exact date of his House Oversight testimony varies across reporting; treat as Feb 26-27, 2026.
⚠ The corpus reproduces the FBI PROMINENT NAMES list (EFTA01648951) but not the content of his entry — the nature of any allegation there is not established.
⚠ The 'Seminar-POWER' list (EFTA01983409) gives a surname only; the corpus does not identify the person.</t>
  </si>
  <si>
    <t xml:space="preserve">P007</t>
  </si>
  <si>
    <t xml:space="preserve">Dan Snyder</t>
  </si>
  <si>
    <t xml:space="preserve">client, executive</t>
  </si>
  <si>
    <t xml:space="preserve">none documented relating to Epstein</t>
  </si>
  <si>
    <t xml:space="preserve">none traceable to Epstein. He sold the Washington Commanders in 2023, unrelated to Epstein; the 2023 $60M NFL fine concerned the separate Commanders investigation.</t>
  </si>
  <si>
    <t xml:space="preserve">Private businessman and former NFL owner as of July 2026. No verified Epstein-driven fallout.</t>
  </si>
  <si>
    <t xml:space="preserve">UNVERIFIED — no public statement located.</t>
  </si>
  <si>
    <t xml:space="preserve">• [alleged] Named as an abuser in forensically authenticated DS12 victim journals spanning ages 16-19  (EFTA02731420, EFTA02731465 (per EFTA Entity Database v2.0, entry #5); status: 'NOT INVESTIGATED')</t>
  </si>
  <si>
    <t xml:space="preserve">• 2026-01-30: Reported to appear in the EFTA document set alongside other sports figures (secondary sports-media reporting only)</t>
  </si>
  <si>
    <t xml:space="preserve">⚠ JOURNAL-ONLY. A genuine page-level journal citation exists, but no evidence outside the journals establishes the conduct. AUTHENTICATION: court-appointed examiner Gerald LaPorte could NOT date the journal entries — pencil, aqueous gel/rollerball ink and marker have no reliable dating methodology. "No evidence of recent fabrication" rules out recent wholesale manufacture of the physical books; it authenticates nothing. Judge Rakoff denied the claim 31 Jul 2024. Judge Clarke ordered third-party names in these journals redacted going forward.</t>
  </si>
  <si>
    <t xml:space="preserve">EFTA02731420, EFTA02731465</t>
  </si>
  <si>
    <t xml:space="preserve">https://frontofficesports.com/epstein-sports-boehly-harris-tisch-wasserman/
https://www.espn.com/nfl/story/_/id/38043823/commanders-dan-snyder-fined-60m-findings-investigation</t>
  </si>
  <si>
    <t xml:space="preserve">⚠ status_verification.md: could not verify from a wire service or major outlet the nature or substance of his appearance in the files, nor any resulting investigation — appearance rests on secondary sports-media reporting only. Requires primary-document verification before publication.
⚠ No public statement by Snyder located.</t>
  </si>
  <si>
    <t xml:space="preserve">P008</t>
  </si>
  <si>
    <t xml:space="preserve">George J. Mitchell</t>
  </si>
  <si>
    <t xml:space="preserve">No evidence in the verified record that he observed illegal conduct; contact continued after Epstein's 2008 conviction, which is documented but is not itself evidence of knowledge of ongoing crimes.</t>
  </si>
  <si>
    <t xml:space="preserve">never charged. Not accused of wrongdoing by law enforcement.</t>
  </si>
  <si>
    <t xml:space="preserve">Named by Giuffre in unsealed civil filings; no lawsuit was brought against him and there is no finding of any kind.</t>
  </si>
  <si>
    <t xml:space="preserve">Feb 2026: resigned as honorary chair of the Mitchell Institute; the US-Ireland Alliance removed his name from the Mitchell Scholarship Program, removed his bust and renamed the scholarship.</t>
  </si>
  <si>
    <t xml:space="preserve">Retired as of July 2026; former U.S. Senate Majority Leader and Northern Ireland peace envoy. Institutional honors stripped.</t>
  </si>
  <si>
    <t xml:space="preserve">Denies meeting Giuffre. Says he never had 'any contact of any kind' with underage women, and 'profoundly regrets ever having known Jeffrey Epstein.'</t>
  </si>
  <si>
    <t xml:space="preserve">• [alleged] Named as an abuser in forensically authenticated DS12 victim journals  (EFTA02731420, EFTA02731465 (per EFTA Entity Database v2.0, entry #7); status: 'NOT INVESTIGATED')
• [denied] Named by Virginia Giuffre in unsealed civil filings as a man Maxwell directed her to have sex with  (Giuffre v. Maxwell unsealed filings, 15 Cv. 7433 (SDNY))
• [alleged] Name appeared roughly 300 times in the 2026 releases; a 2003 handwritten letter described the friendship as 'a blessing'; documents show continued contact after Epstein's 2008 conviction  (Jan 30, 2026 DOJ EFTA release, reported by NBC News / Britannica)</t>
  </si>
  <si>
    <t xml:space="preserve">• 2003: Handwritten letter to Epstein describing the friendship as 'a blessing'
• 2026-02: Resigns as honorary chair of the Mitchell Institute
• 2026-02: US-Ireland Alliance removes his name from the George J. Mitchell Scholarship Program; bust removed and scholarship renamed</t>
  </si>
  <si>
    <t xml:space="preserve">https://www.nbcnews.com/politics/justice-department/epstein-files-fallout-resignations-firings-investigations-rcna259702
https://www.britannica.com/topic/Epstein-Files-Fallout-The-Resignations-Firings-and-Arrests
https://en.wikipedia.org/wiki/List_of_people_named_in_the_Epstein_files</t>
  </si>
  <si>
    <t xml:space="preserve">P009</t>
  </si>
  <si>
    <t xml:space="preserve">Jim Kimsey</t>
  </si>
  <si>
    <t xml:space="preserve">none known</t>
  </si>
  <si>
    <t xml:space="preserve">N/A — died a decade before the allegation surfaced</t>
  </si>
  <si>
    <t xml:space="preserve">Deceased since 2016-03-01 (age 76, cancer). AOL founding CEO.</t>
  </si>
  <si>
    <t xml:space="preserve">N/A — died in 2016, before the allegation surfaced.</t>
  </si>
  <si>
    <t xml:space="preserve">• [alleged] Named as an abuser in forensically authenticated DS12 victim journals  (EFTA02731420, EFTA02731465 (per EFTA Entity Database v2.0, entry #11); status: 'DECEASED')</t>
  </si>
  <si>
    <t xml:space="preserve">• 2016-03-01: Died, age 76, of cancer</t>
  </si>
  <si>
    <t xml:space="preserve">⚠ CATEGORY CORRECTED. The journal text quoted for this person contains NO sexual abuse allegation. The database category "abuser" was not supported by its own cited evidence. AUTHENTICATION: court-appointed examiner Gerald LaPorte could NOT date the journal entries — pencil, aqueous gel/rollerball ink and marker have no reliable dating methodology. "No evidence of recent fabrication" rules out recent wholesale manufacture of the physical books; it authenticates nothing. Judge Rakoff denied the claim 31 Jul 2024. Judge Clarke ordered third-party names in these journals redacted going forward.</t>
  </si>
  <si>
    <t xml:space="preserve">⚠ status_verification.md: as with Steve Case and Ted Leonsis, allegations tying Kimsey to a purported victim-journal passage circulate ONLY on social media and unvetted aggregators. No mainstream, court, or primary-document corroboration located. Do not publish without direct verification.
⚠ No qualifying source located.</t>
  </si>
  <si>
    <t xml:space="preserve">P010</t>
  </si>
  <si>
    <t xml:space="preserve">Lawrence H. Summers</t>
  </si>
  <si>
    <t xml:space="preserve">client, academic, politician</t>
  </si>
  <si>
    <t xml:space="preserve">No corpus evidence establishes his awareness of criminal conduct. The documented record is post-conviction social and professional contact plus a travel-expense payment.</t>
  </si>
  <si>
    <t xml:space="preserve">never charged. Note: Trump publicly directed DOJ to investigate Summers in November 2025; the status and even the existence of any actual investigation is unverified and no charges have resulted.</t>
  </si>
  <si>
    <t xml:space="preserve">Nov 2025: stepped away from Harvard teaching, resigned from the OpenAI board. Dec 2025: resigned lifetime American Economic Association membership. Feb 25, 2026: announced retirement from his Harvard professorship. The most extensive professional fallout of any American on the verification list.</t>
  </si>
  <si>
    <t xml:space="preserve">Retired/retiring from his Harvard professorship as of July 2026; no OpenAI role; substantially withdrawn from public institutional life.</t>
  </si>
  <si>
    <t xml:space="preserve">Expressed regret for 'my past associations with Mr. Epstein.' Has not disputed the authenticity of the 2017-2019 emails in which he sought dating advice from Epstein regarding a mentee.</t>
  </si>
  <si>
    <t xml:space="preserve">• [alleged] Named as an abuser in forensically authenticated DS12 victim journals  (EFTA02731420, EFTA02731465 (per EFTA Entity Database v2.0, entry #6); status: 'NOT INVESTIGATED')
• [alleged] Attended a dinner at Epstein's residence on 2011-05-02 with Bill Gates and Jes Staley, scheduled by Lesley Groff ('Power Dinner!!')  (EFTA02032435; EFTA02189210)
• [alleged] Attended a dinner at Epstein's on 2013-09-20 with Bill and Melinda Gates  (EFTA01960417)
• [alleged] 'L.H. Summers Economic Consulting LLC' received $38,233 from Epstein accounts in November 2014, categorized as 'Travel Expenses'  (EFTA01681865 Exhibit P (Deutsche Bank records))
• [admitted] 2017-2019 emails in which he sought dating advice from Epstein regarding a mentee  (Jan 30, 2026 DOJ EFTA release, reported by CNBC/CBS)</t>
  </si>
  <si>
    <t xml:space="preserve">• 2011-05-02: Dinner at Epstein's with Bill Gates and Jes Staley (EFTA02032435, EFTA02189210)
• 2013-09-20: Dinner at Epstein's with Bill and Melinda Gates (EFTA01960417)
• 2014-11: $38,233 travel-expenses payment to L.H. Summers Economic Consulting LLC (EFTA01681865)
• 2025-11: Steps away from Harvard teaching duties; resigns from the OpenAI board
• 2025-12: Resigns lifetime membership in the American Economic Association
• 2026-02-25: Announces retirement from his Harvard professorship, effective end of the academic year</t>
  </si>
  <si>
    <t xml:space="preserve">EFTA02731420, EFTA02731465, EFTA02032435, EFTA02189210, EFTA01960417, EFTA01681865, EFTA01844429</t>
  </si>
  <si>
    <t xml:space="preserve">https://www.cnbc.com/2026/02/25/epstein-larry-summers-harvard-professor.html
https://www.cbsnews.com/news/larry-summers-resigns-openai-board-jeffrey-epstein-emails/
https://www.insidehighered.com/news/faculty-issues/2026/02/25/larry-summers-resigns-epstein-files-fallout-continues
https://www.nbcnews.com/politics/justice-department/epstein-files-fallout-resignations-firings-investigations-rcna259702</t>
  </si>
  <si>
    <t xml:space="preserve">⚠ Existence and status of any DOJ investigation directed by Trump in Nov 2025 is UNVERIFIED; no charges have resulted.</t>
  </si>
  <si>
    <t xml:space="preserve">P011</t>
  </si>
  <si>
    <t xml:space="preserve">Marvin Minsky</t>
  </si>
  <si>
    <t xml:space="preserve">client, academic</t>
  </si>
  <si>
    <t xml:space="preserve">never charged. Died more than three years before Epstein's 2019 arrest.</t>
  </si>
  <si>
    <t xml:space="preserve">Named in Giuffre's unsealed deposition testimony; never adjudicated. His widow has disputed the allegation.</t>
  </si>
  <si>
    <t xml:space="preserve">Posthumous — the Epstein/Minsky connection contributed to the 2019 resignation of MIT Media Lab director Joi Ito.</t>
  </si>
  <si>
    <t xml:space="preserve">Deceased since 2016-01-24 (age 88, cerebral hemorrhage). MIT AI pioneer.</t>
  </si>
  <si>
    <t xml:space="preserve">He was never able to respond; the allegation surfaced publicly in 2019, after his death. His widow has disputed the allegation.</t>
  </si>
  <si>
    <t xml:space="preserve">• [alleged] Named as an abuser in forensically authenticated DS12 victim journals  (EFTA02731420, EFTA02731465 (per EFTA Entity Database v2.0, entry #13); status: 'DECEASED')
• [denied] Named in Virginia Giuffre's unsealed 2015 deposition testimony as a man she was directed to have sex with on Epstein's island  (Giuffre v. Maxwell, 15 Cv. 7433 (SDNY), unsealed deposition)</t>
  </si>
  <si>
    <t xml:space="preserve">• 2016-01-24: Died, age 88, of cerebral hemorrhage — more than three years before Epstein's 2019 arrest
• 2019: Giuffre allegation surfaces publicly; the Epstein/Minsky connection contributes to the resignation of MIT Media Lab director Joi Ito</t>
  </si>
  <si>
    <t xml:space="preserve">https://www.fox13news.com/news/epstein-documents-trafficking-allegations-bill-richardson-marvin-minsky-les-wexner
https://cs.cmu.edu/news/2016/marvin-minsky-obituary
https://time.com/6552063/jeffrey-epsteins-unsealed-court-documents/</t>
  </si>
  <si>
    <t xml:space="preserve">P012</t>
  </si>
  <si>
    <t xml:space="preserve">Steve Case</t>
  </si>
  <si>
    <t xml:space="preserve">none verified</t>
  </si>
  <si>
    <t xml:space="preserve">Chairman/CEO of Revolution and AOL co-founder as of July 2026. No verified professional fallout.</t>
  </si>
  <si>
    <t xml:space="preserve">• [alleged] Named as an abuser in forensically authenticated DS12 victim journals  (EFTA02731420, EFTA02731465 (per EFTA Entity Database v2.0, entry #9); status: 'NOT INVESTIGATED')</t>
  </si>
  <si>
    <t xml:space="preserve">⚠ status_verification.md: allegations linking Case (with Ted Leonsis and Jim Kimsey) to a purported victim-journal passage have circulated on SOCIAL MEDIA AND UNVETTED AGGREGATOR SITES ONLY. No wire-service, major-outlet, or court-record corroboration that Case is named in the EFTA releases or in any authenticated journal. DO NOT PUBLISH the journal claim without direct primary-document verification.
⚠ No qualifying source located. No public statement located.
⚠ No verified 2026 development.</t>
  </si>
  <si>
    <t xml:space="preserve">P013</t>
  </si>
  <si>
    <t xml:space="preserve">Ted Leonsis</t>
  </si>
  <si>
    <t xml:space="preserve">Founder/CEO of Monumental Sports &amp; Entertainment (Washington Wizards, Capitals, Mystics) as of July 2026. No verified professional fallout.</t>
  </si>
  <si>
    <t xml:space="preserve">• [alleged] Named as an abuser in forensically authenticated DS12 victim journals, with a reference to a 'video of procedure'  (EFTA02731420, EFTA02731465 (per EFTA Entity Database v2.0, entry #10); status: 'NOT INVESTIGATED')</t>
  </si>
  <si>
    <t xml:space="preserve">⚠ status_verification.md: the only material connecting him to victim-journal allegations is social-media/aggregator content. No verified mainstream corroboration. Requires primary-document verification.
⚠ No qualifying source located. No public statement located.
⚠ No verified 2026 development.</t>
  </si>
  <si>
    <t xml:space="preserve">P014</t>
  </si>
  <si>
    <t xml:space="preserve">Adriana Ross</t>
  </si>
  <si>
    <t xml:space="preserve">T2 — NPA Co-Conspirator (Immunity)</t>
  </si>
  <si>
    <t xml:space="preserve">Named by name (as 'Adrian Ross') in the 2007 federal non-prosecution agreement as a potential co-conspirator receiving blanket immunity; never charged.</t>
  </si>
  <si>
    <t xml:space="preserve">scheduler, operations, coconspirator, admin</t>
  </si>
  <si>
    <t xml:space="preserve">She admitted during a proffer that she was trained by Sarah Kellen to schedule Palm Beach and New York massage appointments for Epstein, and the FBI records that she was instructed to remove and destroy items from Epstein's Palm Beach and Virgin Islands homes during the Palm Beach investigation.</t>
  </si>
  <si>
    <t xml:space="preserve">never charged. Named as an unindicted co-conspirator with immunity under the 2007 NPA.</t>
  </si>
  <si>
    <t xml:space="preserve">Named in victim civil litigation; has invoked the Fifth Amendment in depositions</t>
  </si>
  <si>
    <t xml:space="preserve">UNVERIFIED as of July 2026. Former model from Poland; married and took the surname Ross. No verified 2026 public appearance, testimony or statement.</t>
  </si>
  <si>
    <t xml:space="preserve">Has not made substantive public statements; has asserted the Fifth Amendment.</t>
  </si>
  <si>
    <t xml:space="preserve">• [admitted] 'Admits during a proffer she was trained by [Kellen] to schedule [Palm Beach] and [New York] massage appointments for Epstein'  (EFTA01653420 / EFTA01699906, FBI organizational chart)
• [alleged] Instructed to remove items from Epstein's Palm Beach and Virgin Islands homes and have them destroyed during the Palm Beach investigation — obstruction across two jurisdictions  (EFTA01699906; EFTA01653420)
• [alleged] Listed as a co-conspirator who 'procured minor females to be molested by Epstein'  (EFTA00081180 ¶27, Edwards v. Epstein undisputed facts)
• [admitted] Invoked her Fifth Amendment right against self-incrimination when questioned about Prince Andrew during deposition testimony  (NPA co-conspirator analysis — EFTA number not stated in corpus)
• [admitted] Immunized as a named co-conspirator under the 2007 NPA  (EFTA01186086)</t>
  </si>
  <si>
    <t xml:space="preserve">• 2007-09-16: Named in the defense immunity proposal authored by Jay Lefkowitz (EFTA01186070)
• 2007-09-24: Named in the final NPA as 'Adrian Ross' and immunized (EFTA01186086)</t>
  </si>
  <si>
    <t xml:space="preserve">The corpus assesses that her admitted destruction of evidence from both the Palm Beach and Virgin Islands properties during an active investigation should have supported a standalone federal obstruction charge under 18 U.S.C. § 1519; the NPA immunized that conduct. The FBI chart notes it is 'unknown if she actually recruited or abused any of the victims.' The EFTA citation for her Fifth Amendment invocation regarding Prince Andrew is unsourced in the corpus.</t>
  </si>
  <si>
    <t xml:space="preserve">EFTA01186086, EFTA01186070, EFTA01653420, EFTA01699906, EFTA00081180, EFTA02731082</t>
  </si>
  <si>
    <t xml:space="preserve">https://en.yenisafak.com/world/ten-alleged-epstein-co-conspirators-named-in-newly-released-files-3712399
https://www.thedailybeast.com/jeffrey-epsteins-alleged-accomplices-where-are-sarah-kellen-nadia-marcinkova-adriana-ross-and-lesley-groff/</t>
  </si>
  <si>
    <t xml:space="preserve">⚠ Current position and whereabouts as of July 2026: UNVERIFIED.
⚠ Alive/deceased status: last verified as alive; not independently confirmed for 2026.
⚠ No verified 2026 congressional testimony, charge or investigation naming her.
⚠ EFTA citation for the Prince Andrew Fifth Amendment invocation is unsourced in the corpus.</t>
  </si>
  <si>
    <t xml:space="preserve">P015</t>
  </si>
  <si>
    <t xml:space="preserve">Lesley Groff</t>
  </si>
  <si>
    <t xml:space="preserve">Named by name in the 2007 federal non-prosecution agreement as a potential co-conspirator receiving blanket immunity; analyzed as a charging subject in Section IV.D of the 2019 SDNY prosecution memo (analysis entirely redacted) and never charged.</t>
  </si>
  <si>
    <t xml:space="preserve">logistics</t>
  </si>
  <si>
    <t xml:space="preserve">scheduler, admin, operations, coconspirator</t>
  </si>
  <si>
    <t xml:space="preserve">She was the NYC-based scheduler coordinating appointments between Epstein and victims from approximately 2001 through 2019, and is named throughout the SDNY prosecution memo as coordinating logistics. She scheduled the 'massages' at Epstein's NYC residence, including the visit at which a victim says Staley raped her.</t>
  </si>
  <si>
    <t xml:space="preserve">Named in victim civil litigation; outcomes unverified</t>
  </si>
  <si>
    <t xml:space="preserve">Private citizen as of July 2026. Interviewed by the House Oversight Committee on June 9, 2026; no charges resulted.</t>
  </si>
  <si>
    <t xml:space="preserve">Denied knowledge of Epstein's crimes to the House Oversight Committee. Described Epstein as a 'master manipulator.'</t>
  </si>
  <si>
    <t xml:space="preserve">• [alleged] NYC-based scheduler coordinating appointments between Epstein and victims from approximately 2001 through 2019; named throughout the prosecution memo as coordinating logistics  (EFTA02731082)
• [alleged] Coordinated the visit at which a victim states Jes Staley raped her — she scheduled 'massages' at Epstein's NYC residence  (EFTA00362213; EFTA02434434; EFTA02032435)
• [admitted] Immunized as a named co-conspirator under the 2007 NPA  (EFTA01186086)
• [alleged] Named one of four subjects for 'immediate approach' in the SDNY arrest briefing, July 2019  (EFTA01653331)
• [alleged] Arranged Brunel-Epstein meetings by email 2011-2013 via the 'Karin Models' contact  (Brunel analysis, multiple EFTA emails)
• [alleged] Authorized signer on Southern Financial LLC and the 2017 Caterpillar Trust; handled the Caterpillar Trust's final interest transfers in April 2019, three months before Epstein's arrest  (EFTA01424842; EFTA01423947)
• [alleged] Arranged the U.S. visa, passport and airline tickets for a South African woman recruited in Cape Town in 2002 at age 20, who alleges she was then trafficked  (EFTA02731941 (Juliette v. Epstein Estate, 1:19-cv-10479))
• [admitted] Invoked the Fifth Amendment through counsel and was never charged  (EFTA02731082, §IV.D)</t>
  </si>
  <si>
    <t xml:space="preserve">• 2001-2019: Serves as Epstein's NYC scheduler (EFTA02731082)
• 2007-08-21: FBI serves her with a grand jury subpoena; she calls Epstein, who then diverts the aircraft to block Marcinkova's target letter (EFTA00081180)
• 2007-09-24: Named in the NPA and immunized (EFTA01186086)
• 2009-12-09: Emails Epstein: 'Jes staley is wondering time and place for drinks this Sat with Peter Mandelson and yourself??' (EFTA02434434)
• 2019-04: Handles the Caterpillar Trust's final interest transfers, three months before Epstein's arrest (EFTA01423947)
• 2019-07: Named an SDNY 'immediate approach' target (EFTA01653331)
• 2019-12-19: Analyzed as a charging subject in §IV.D of the prosecution memo — the entire one-page analysis is redacted (EFTA02731082)
• 2026-06-09: Interviewed by the House Oversight Committee. No charges resulted.</t>
  </si>
  <si>
    <t xml:space="preserve">The 2007 NPA may have precluded charges for pre-2008 conduct, but post-NPA scheduling (2008-2019) would not be covered by the immunity provision — a gap the corpus flags and that has never been publicly explained. Her entire charging analysis in the SDNY prosecution memo is redacted. She was also the single largest recipient of Epstein-funded legal defense: $5,509,464 to Link &amp; Rockenbach, $490,001 to Steptoe &amp; Johnson and $100,000 to Scott J. Link individually (EFTA01681865 Exhibit M).</t>
  </si>
  <si>
    <t xml:space="preserve">EFTA01186086, EFTA02731082, EFTA01653331, EFTA00362213, EFTA02434434, EFTA02032435, EFTA01424842, EFTA01423947, EFTA01681865, EFTA02731941, EFTA00081180</t>
  </si>
  <si>
    <t xml:space="preserve">https://www.cnbc.com/2026/06/09/epstein-lesley-groff-house-oversight-committee.html
https://www.pbs.org/newshour/politics/who-is-lesley-groff-jeffrey-epsteins-former-assistant-being-interviewed-in-house-probe
https://www.ms.now/news/lesley-groff-epstein-assistant-testifies-house-oversight-committee</t>
  </si>
  <si>
    <t xml:space="preserve">⚠ Outcomes of victim civil litigation naming her: UNVERIFIED.</t>
  </si>
  <si>
    <t xml:space="preserve">P016</t>
  </si>
  <si>
    <t xml:space="preserve">Nadia Marcinkova</t>
  </si>
  <si>
    <t xml:space="preserve">Named by name in the 2007 federal non-prosecution agreement as a potential co-conspirator receiving blanket immunity; the FBI was preparing to serve her with a target letter when Epstein diverted his aircraft to prevent it. Never charged.</t>
  </si>
  <si>
    <t xml:space="preserve">coconspirator, operations</t>
  </si>
  <si>
    <t xml:space="preserve">Multiple victims state they were made to perform sex acts on her in Epstein's presence, and the CVRA motion records that she 'participated in the abuse of other victims.' The FBI chart records that victims 'often described someone fitting her description as being involved in the sexual abuse during these massages.'</t>
  </si>
  <si>
    <t xml:space="preserve">Named in victim civil litigation; has invoked the Fifth Amendment</t>
  </si>
  <si>
    <t xml:space="preserve">UNVERIFIED as of July 2026. Post-Epstein she changed her name to 'Nadia Marcinko,' obtained FAA pilot certification, built the 'Gulfstream Girl'/'Global Girl' aviation brand and founded Aviloop. Reported missing since early January 2024.</t>
  </si>
  <si>
    <t xml:space="preserve">No verified public statement.</t>
  </si>
  <si>
    <t xml:space="preserve">• [alleged] 'Nadia Marcinkova — who participated in the abuse of other victims'  (EFTA01186070 ¶5, CVRA motion)
• [alleged] Victims E.W. and A.H. were made to perform sex acts on her in Epstein's presence; she 'participated in the sex acts with minors and Epstein'  (EFTA00081180 ¶¶11, 13, 27)
• [alleged] Allegedly purchased from her family in Presov, Slovakia at approximately age 14 and brought to the United States by Epstein  (EFTA01186070; NPA co-conspirator analysis)
• [alleged] The FBI was 'preparing to serve Ms. Marcinkova with a target letter when the flight landed in Teterboro' — she was a subject of the criminal investigation  (EFTA00081180)
• [admitted] Immunized as a named co-conspirator under the 2007 NPA  (EFTA01186086)</t>
  </si>
  <si>
    <t xml:space="preserve">• 2006-06-01: Epstein signs a gift declaration transferring a 2000 Harley Davidson Fat Boy (valued $9,905) to 'Mr. Peter Marcinkova, Malinovia 14, Presov, Slovakia' (EFTA00585893)
• 2007-08-21: Epstein diverts his aircraft to the USVI to prevent FBI service of her target letter, then pressures her not to cooperate with the grand jury (EFTA00081180)
• 2007-09-24: Named in the NPA and immunized (EFTA01186086)
• 2008-2009: Visits Epstein 67+ times during his 13-month Palm Beach County jail sentence
• 2024-01: Reported missing since early January 2024 — no confirmed public sightings</t>
  </si>
  <si>
    <t xml:space="preserve">DUAL STATUS — record both. The documents describe her as brought to the U.S. by Epstein as a teenager, allegedly purchased from her family in Slovakia at approximately age 14, and some victims describe her as both a victim and a participant. The corpus's own central question: 'Why was Marcinkova treated as a co-conspirator rather than a victim? ... The NPA classified her as a co-conspirator — serving Epstein's interest in silencing her through immunity rather than empowering her through victim status.' This is unresolved. DUAL CLASSIFICATION: also carried at T6 (prosecutorial) in the project tier legend, which places prosecutors at Tier 6 regardless of conduct. Retained at T3 here because the tier reflects the conduct at issue (authorising the 2007 NPA), not the job title.</t>
  </si>
  <si>
    <t xml:space="preserve">EFTA01186086, EFTA01186070, EFTA00081180, EFTA01653420, EFTA01699906, EFTA00585893</t>
  </si>
  <si>
    <t xml:space="preserve">⚠ Current position and whereabouts as of July 2026: UNVERIFIED. Reported missing since January 2024.
⚠ Alive/deceased status: UNVERIFIED.
⚠ Aviation business status: UNVERIFIED.
⚠ No verified charge, testimony or investigation in 2026.</t>
  </si>
  <si>
    <t xml:space="preserve">P017</t>
  </si>
  <si>
    <t xml:space="preserve">Sarah Kellen</t>
  </si>
  <si>
    <t xml:space="preserve">Named by name in the 2007 federal non-prosecution agreement as a potential co-conspirator receiving blanket immunity; never charged despite being a named defendant in the drafted 53-page sealed indictment.</t>
  </si>
  <si>
    <t xml:space="preserve">scheduler, recruiter, operations, coconspirator, admin</t>
  </si>
  <si>
    <t xml:space="preserve">The FBI organizational chart records that 'at least 10 girls state she is the direct point of contact for scheduling the massage appointments'; she set up the massage table and called victims ahead of Epstein's arrivals; she was the direct supervisor of Adriana Ross, whom she instructed to schedule appointments and destroy evidence.</t>
  </si>
  <si>
    <t xml:space="preserve">never charged. Named as one of four assistants granted blanket immunity as an unindicted co-conspirator under the 2007 federal non-prosecution agreement.</t>
  </si>
  <si>
    <t xml:space="preserve">Named as a defendant in multiple victim civil suits; settlements confidential/unverified</t>
  </si>
  <si>
    <t xml:space="preserve">Private citizen as of July 2026. Operates as an interior designer under 'Sarah Kellen Vickers' / 'SLK Interior Design'. Testified before House Oversight in May 2026.</t>
  </si>
  <si>
    <t xml:space="preserve">In her House Oversight interview she testified that Epstein abused her for years, positioning herself as a victim as well as a participant. Her characterization has divided House members, some of whom regard her as a co-conspirator rather than a survivor.</t>
  </si>
  <si>
    <t xml:space="preserve">• [alleged] Named as a defendant in the sealed 53-page federal indictment; Overt Act (2): 'did lead Jane Doe #2, who was then approximately 14 years old, upstairs to Jeffrey Epstein's bedroom'; also took nude photographs of Jane Doe #2 and placed calls to arrange 'massage' appointments  (EFTA01659794 (drafted sealed indictment, never filed))
• [alleged] 'At least 10 girls state she is the direct point of contact for scheduling the massage appointments in West Palm Beach and New York City'  (EFTA01653420 / EFTA01699906, FBI organizational chart)
• [alleged] Directed Adriana Ross to schedule massage appointments and destroy evidence during the Palm Beach investigation  (EFTA01653420)
• [alleged] 'At least 1 victim states that [Kellen] sexually abused her during a massage with Epstein'  (EFTA01699906)
• [alleged] Flew on Epstein's plane with Jes Staley in 2005 during the Florida criminal investigation; had a bank account through Epstein at JPMorgan; 'publicly identified as Epstein's co-conspirators in trafficking offenses'  (EFTA00162121, p.39 (USVI v. JPMorgan complaint))
• [admitted] Immunized as a named co-conspirator: the NPA covers 'any potential co-conspirators of Epstein, including but not limited to Sarah Kellen, Adrian Ross, Lesley Groff, or Nadia Marcinkova'  (EFTA01186086, 2007 NPA)
• [admitted] Invoked the Fifth Amendment on all substantive questions about arranging minors at deposition, represented by Bruce Reinhart  (EFTA00729910 p.19; EFTA00798522 p.24)</t>
  </si>
  <si>
    <t xml:space="preserve">• 2005: Flies with Staley on Epstein's plane during the Florida criminal investigation (EFTA00162121 p.39)
• 2007-05: Named as a defendant in the drafted sealed indictment (EFTA01186070; EFTA01659794)
• 2007-09-24: Named in the final NPA and immunized (EFTA01186086)
• 2008-01-02: Becomes a client of Bruce Reinhart the day after he left the U.S. Attorney's Office (EFTA00798522 p.24)
• 2013: Marries NASCAR driver Brian Vickers
• 2021-12: Named 80+ times during the Maxwell trial; Judge Analisa Torres called her 'a knowing participant in a criminal conspiracy' but she could not be charged due to NPA immunity
• 2026-05: Transcribed interview with the House Oversight Committee (reported May 21); Chairman Comer calls it the 'most substantive' testimony yet; transcript publicly released
• 2026-05: Names three previously unknown alleged abusers connected to Epstein; Comer and Republican members formally ask DOJ to open investigations into them</t>
  </si>
  <si>
    <t xml:space="preserve">DUAL STATUS — record both. She is an NPA-named co-conspirator with documented operational conduct AND, per her May 2026 House Oversight testimony, a claimed victim: she testified that Epstein abused her for years. The corpus independently records that Epstein 'threatened and harassed Sarah Kellen against cooperating against him' (EFTA00081180 ¶20), which supports the coercion account. House members are divided on whether to treat her as co-conspirator or survivor. Neither characterization has been adjudicated. Separately, a suggested link between her and 'SLK Designs, LLC' (the only entity receiving loan forgiveness in the trust) is expressly marked as speculation in the corpus and must not be treated as established.</t>
  </si>
  <si>
    <t xml:space="preserve">EFTA01186086, EFTA01659794, EFTA01186070, EFTA01653420, EFTA01699906, EFTA00162121, EFTA00798522, EFTA00729910, EFTA00081180, EFTA01245817</t>
  </si>
  <si>
    <t xml:space="preserve">https://www.cnn.com/2026/05/21/politics/sarah-kellen-epstein-testimony
https://abcnews.com/US/former-epstein-assistant-house-committee/story?id=133153223
https://abcnews.com/US/lawmakers-doj-investigate-additional-alleged-abusers-named-former/story?id=133567240
https://oversight.house.gov/release/chairman-comer-and-republican-lawmakers-seek-doj-investigation-into-sexual-assault-allegations-made-during-epstein-investigation/
https://www.pbs.org/newshour/politics/former-epstein-assistant-sarah-kellen-testified-before-the-house-committee-heres-what-we-know</t>
  </si>
  <si>
    <t xml:space="preserve">⚠ Outcome of Comer's May 2026 request that DOJ investigate the three additional alleged abusers she named: UNVERIFIED.
⚠ Civil settlement terms: confidential/UNVERIFIED.</t>
  </si>
  <si>
    <t xml:space="preserve">P018</t>
  </si>
  <si>
    <t xml:space="preserve">Alberto Pinto</t>
  </si>
  <si>
    <t xml:space="preserve">T3 — Concerning Conduct, Never Charged</t>
  </si>
  <si>
    <t xml:space="preserve">Sworn victim testimony places him immediately before an alleged trafficking episode ('dined with Pinto before being taken to London for sex with Prince Andrew'), and his firm received $2,873,001 from Epstein accounts entirely after that allegation became public. Never charged.</t>
  </si>
  <si>
    <t xml:space="preserve">The corpus records the victim testimony and the payment record but makes no knowledge finding.</t>
  </si>
  <si>
    <t xml:space="preserve">never charged (no charge recorded in the corpus; he is not covered in status_verification.md)</t>
  </si>
  <si>
    <t xml:space="preserve">none documented in the corpus</t>
  </si>
  <si>
    <t xml:space="preserve">Not covered by status_verification.md. French interior designer. Current status as of July 2026 unverified. Note: an Alberto Pinto of that description died in 2012, which would predate the 2015-2018 payments to the firm bearing his name — the corpus does not address this and the registry does not resolve it.</t>
  </si>
  <si>
    <t xml:space="preserve">no public response found</t>
  </si>
  <si>
    <t xml:space="preserve">• [alleged] 'Victim testified she dined with Pinto before being taken to London for sex with Prince Andrew'  (EFTA01681865 Exhibit P (Deutsche Bank payment analysis))
• [alleged] Cabinet Alberto Pinto SARL received $2,873,001 from Epstein accounts between November 2015 and December 2018 — all payments occurring after the allegations became public  (EFTA01681865 Exhibit P)</t>
  </si>
  <si>
    <t xml:space="preserve">• 2015-11: Payments to Cabinet Alberto Pinto SARL begin, after the London allegation became public (EFTA01681865)
• 2018-12: Payments conclude; total $2,873,001 (EFTA01681865)</t>
  </si>
  <si>
    <t xml:space="preserve">The purpose of the $2.87M payment stream is unexplained in the corpus and is carried as an open question. The payments were made to a firm (Cabinet Alberto Pinto SARL), not necessarily to the individual; the corpus does not distinguish. Do not treat the payment record as corroboration of the victim testimony.</t>
  </si>
  <si>
    <t xml:space="preserve">EFTA01681865</t>
  </si>
  <si>
    <t xml:space="preserve">⚠ NOT COVERED in status_verification.md — criminal status, current position and alive/deceased are unverified.
⚠ Purpose of the $2,873,001 payment stream: UNEXPLAINED in the corpus.
⚠ Whether payments to 'Cabinet Alberto Pinto SARL' reached the individual: not established.</t>
  </si>
  <si>
    <t xml:space="preserve">P019</t>
  </si>
  <si>
    <t xml:space="preserve">Cecil</t>
  </si>
  <si>
    <t xml:space="preserve">A primary FBI FD-302 records that he altered the victim's mother's real estate books to embezzle funds and pay Epstein — documentary evidence of conduct raising serious questions. Never charged.</t>
  </si>
  <si>
    <t xml:space="preserve">finance</t>
  </si>
  <si>
    <t xml:space="preserve">coconspirator</t>
  </si>
  <si>
    <t xml:space="preserve">Per the FD-302 he altered the books specifically so funds could be embezzled to pay Epstein. Note the corpus hedges his role in the subsequent report to the Real Estate Commission with 'possibly.'</t>
  </si>
  <si>
    <t xml:space="preserve">never charged (no charge, investigation or outcome recorded in the corpus)</t>
  </si>
  <si>
    <t xml:space="preserve">Unknown. Partial identification only.</t>
  </si>
  <si>
    <t xml:space="preserve">• [alleged] "Atkins's accountant 'Cecil' (Black male) helps fix victim's mother's real estate books to embezzle funds and pay Epstein. Atkins, Epstein, and possibly Cecil then report the mother to the Real Estate Commission."  (EFTA02858481, pp.2-3)</t>
  </si>
  <si>
    <t xml:space="preserve">• 1981-1982: Alters the victim's mother's real estate books to embezzle funds and pay Epstein (EFTA02858481)</t>
  </si>
  <si>
    <t xml:space="preserve">PARTIAL IDENTIFICATION — first name only, plus a physical descriptor recorded by the FBI. The corpus proposes no full identity. This record must not be used to identify any specific individual.</t>
  </si>
  <si>
    <t xml:space="preserve">EFTA02858481</t>
  </si>
  <si>
    <t xml:space="preserve">⚠ First name only; no full identity established.
⚠ NOT COVERED in status_verification.md.</t>
  </si>
  <si>
    <t xml:space="preserve">P020</t>
  </si>
  <si>
    <t xml:space="preserve">Donald J. Trump</t>
  </si>
  <si>
    <t xml:space="preserve">Sexual-assault allegations from a victim recorded in primary FBI FD-302s, plus documented recruitment-site and social proximity — the Tier 3 standard. No corpus file assigns him Tier 1, and there is no conviction, charge or authenticated-journal naming.</t>
  </si>
  <si>
    <t xml:space="preserve">client, politician, executive</t>
  </si>
  <si>
    <t xml:space="preserve">Contested. A victim account (EFTA00019101) describes Epstein elbowing Trump and saying 'This is a good one, right?' with Trump 'smiled and nodded'; a separate FD-302 records only an introduction and that 'TRUMP was polite to [victim].' The FBI's July 2025 memo found 'no evidence that could predicate an investigation against uncharged third parties.'</t>
  </si>
  <si>
    <t xml:space="preserve">never charged with any Epstein-related crime. No known Epstein-related criminal investigation of him.</t>
  </si>
  <si>
    <t xml:space="preserve">Plaintiff, not defendant, in the principal Epstein-adjacent litigation: he sued the Wall Street Journal and Rupert Murdoch for $10 billion over reporting on a 2003 birthday letter/drawing. Suit dismissed April 13, 2026; revised complaint refiled May 28, 2026; pending.</t>
  </si>
  <si>
    <t xml:space="preserve">none. Sitting President.</t>
  </si>
  <si>
    <t xml:space="preserve">President of the United States as of July 2026. Holds the pardon/commutation power over Ghislaine Maxwell's pending clemency application — the central open question of the case. VP JD Vance publicly acknowledged in July 2026 that the administration 'mishandled' the files release.</t>
  </si>
  <si>
    <t xml:space="preserve">Denies writing the birthday letter; called it a 'dead issue.' Has repeatedly characterized Epstein coverage as a hoax/distraction. He is the plaintiff, not a defendant, in the principal Epstein-adjacent litigation.</t>
  </si>
  <si>
    <t xml:space="preserve">• [denied] Sexually assaulted a minor victim in a New York or New Jersey high-rise, c.1981-1984  (EFTA02858481 pp.7-8; EFTA02858491 p.1 (FBI FD-302s, Protect Source 3501.045))
• [denied] At age 14 a victim was introduced to Trump at Mar-a-Lago; Epstein elbowed him saying 'This is a good one, right?' and Trump 'smiled and nodded'  (EFTA00019101)
• [alleged] A separate FD-302 victim describes being introduced to Trump by Epstein and Maxwell at age ~20-22; 'TRUMP was polite to [victim]' — this document establishes an introduction and does NOT allege assault  (EFTA00158636 p.4)
• [alleged] 2011 Maxwell-Epstein emails strategize about an accuser from Mar-a-Lago and discuss involving Trump himself  (Dataset 9 emails (per Entity Database v2.0, entry #62))
• [withdrawn] Named as a client in an alleged sex trafficking ring at a Rancho Palos Verdes golf course alongside Epstein, with Maxwell as madam — the FBI deemed this complaint NOT CREDIBLE (complainant had 3 police incidents requiring psychiatric evaluations)  (EFTA01660651, NTOC Complainant 3)
• [alleged] Jack O'Donnell, COO of Trump Plaza Casino 1987-1990, says he reprimanded Trump and Epstein for bringing underage girls onto the casino floor  (CNN, via Rolling Stone timeline — secondary media, not an EFTA document)
• [alleged] Listed first on the FBI PROMINENT NAMES list; the corpus reproduces the list but not the content of his entry  (EFTA01648951)
• [denied] A 2003 birthday letter/drawing allegedly sent to Epstein  (Wall Street Journal reporting; subject of Trump v. Dow Jones/Murdoch)</t>
  </si>
  <si>
    <t xml:space="preserve">• 1987-1990: Jack O'Donnell's account of reprimanding Trump and Epstein at Trump Plaza Casino (secondary media)
• 1981-1984: Alleged assault of the 3501.045 victim (EFTA02858481, EFTA02858491)
• 1994-1995: Jane Doe, at 14, introduced to Trump at Mar-a-Lago (EFTA00019101)
• 1999-2000: Separate FD-302 victim introduced to Trump by Epstein and Maxwell; 'TRUMP was polite' (EFTA00158636)
• 2025-11-17: AG Bondi, at Trump's urging, orders the Manhattan U.S. Attorney to investigate Epstein's ties to Trump's political opponents despite the FBI's own 'no predicate' finding (EFTA01655527)
• 2026-04-02: Fires AG Pam Bondi after the Oversight Committee subpoenaed her testimony on release management
• 2026-04-09: First Lady Melania Trump publicly denies being an Epstein victim, addressing what she called 'fake images'
• 2026-04-13: Judge dismisses his $10bn suit against the Wall Street Journal and Rupert Murdoch
• 2026-05-28: Refiles a revised complaint
• 2026-06-26: Judge Sullivan orders release of FBI interview notes from an unnamed woman who alleged assault by Trump</t>
  </si>
  <si>
    <t xml:space="preserve">Handle with unusual care. The strongest allegation (3501.045) comes from FBI FD-302s of a victim who was never a complainant in any charged case and who declined to proceed in October 2019 citing the statute of limitations; no prosecution resulted. One separate FD-302 records an introduction and explicitly does not allege assault. One allegation (NTOC Complainant 3) was found NOT CREDIBLE by the FBI on stated grounds. The FBI's July 2025 memo stated: 'We did not uncover evidence that could predicate an investigation against uncharged third parties.' The corpus records statements cutting against the allegations with the same weight as the allegations. Claims of '38,000+ mentions' in the releases come from an aggregator and are UNVERIFIED.</t>
  </si>
  <si>
    <t xml:space="preserve">EFTA02858481, EFTA02858491, EFTA01245620, EFTA00019101, EFTA00158636, EFTA01660651, EFTA01648951, EFTA01655527, EFTA00000468</t>
  </si>
  <si>
    <t xml:space="preserve">https://www.npr.org/2026/04/13/g-s1-117248/judge-dismisses-trump-lawsuit-epstein-letter-wsj-story-murdoch
https://www.cnn.com/2026/05/28/politics/trump-refiles-lawsuit-wall-street-journal-epstein
https://www.forbes.com/sites/alisondurkee/2026/07/02/could-more-epstein-files-be-released-today-doj-faces-court-ordered-deadline-to-unredact-names/
https://www.britannica.com/topic/The-Epstein-Files-A-Timeline/2026-Contempt-delays-and-more-documents
https://www.axios.com/2026/07/21/epstein-files-probe-doj-blanche-tillis-gates</t>
  </si>
  <si>
    <t xml:space="preserve">⚠ Volume claims of '38,000+ mentions' come from an aggregator and are UNVERIFIED.
⚠ Outcome of the refiled WSJ/Murdoch suit as of 2026-07-31: pending, UNVERIFIED.
⚠ The FBI deemed the NTOC Complainant 3 allegation NOT CREDIBLE.
⚠ The Jack O'Donnell account rests on secondary media (CNN via Rolling Stone), not a primary EFTA document.</t>
  </si>
  <si>
    <t xml:space="preserve">P021</t>
  </si>
  <si>
    <t xml:space="preserve">Elon Musk</t>
  </si>
  <si>
    <t xml:space="preserve">November 2012 to January 2014 emails coordinating an island visit, including asking Epstein 'What day/night will be the wildest party on your island?' — communications that directly contradict his September 2025 claim that he refused island invitations. Never charged.</t>
  </si>
  <si>
    <t xml:space="preserve">institution-officer</t>
  </si>
  <si>
    <t xml:space="preserve">executive</t>
  </si>
  <si>
    <t xml:space="preserve">The corpus records email coordination about an island visit but does not establish that any visit occurred or that he knew of criminal conduct.</t>
  </si>
  <si>
    <t xml:space="preserve">never charged. No investigation known.</t>
  </si>
  <si>
    <t xml:space="preserve">CEO of Tesla and SpaceX and owner of X as of July 2026.</t>
  </si>
  <si>
    <t xml:space="preserve">Says his emails with Epstein are 'misinterpreted' and called the files release 'a distraction.' DENIES ever visiting Epstein's island.</t>
  </si>
  <si>
    <t xml:space="preserve">• [alleged] Nov 2012: Epstein asks about a helicopter to the island; Musk asks 'What day/night will be the wildest party on your island?'  (Dataset 9 emails (per Entity Database v2.0, entry #22); CNN Jan 30-31, 2026)
• [alleged] Dec 2013: asks to visit; Epstein replies 'always space for you.' Jan 2014: Musk asks 'When should we head to your island on the 2nd?'  (Dataset 9 emails (per Entity Database v2.0))
• [alleged] Emails apparently discussing plans to visit the island and to host Epstein at SpaceX  (Jan 30, 2026 DOJ EFTA release, reported by CNBC)</t>
  </si>
  <si>
    <t xml:space="preserve">• 2012-11: Helicopter/island email exchange
• 2013-12: Asks to visit; Epstein: 'always space for you'
• 2014-01: 'When should we head to your island on the 2nd?'
• 2026-01-30: Release includes emails apparently discussing plans to visit the island and to host Epstein at SpaceX
• 2026-01-31: Says the correspondence could be 'misinterpreted'</t>
  </si>
  <si>
    <t xml:space="preserve">Two points matter equally for accuracy: fact-checkers have DEBUNKED at least two viral fabricated 'Musk island email' threads attributed to the January 2026 release — those fabrications are not evidence — AND the real emails are not proof that a visit occurred. It remains unclear whether any visit took place.</t>
  </si>
  <si>
    <t xml:space="preserve">https://www.cnbc.com/2026/01/30/epstein-files-show-elon-musk-planned-visit-to-island-host-at-spacex.html
https://www.forbes.com/sites/mikestunson/2026/01/31/elon-musk-says-his-emails-with-jeffrey-epstein-are-misinterpreted-calls-release-of-files-a-distraction/
https://www.nbcnews.com/tech/elon-musk/epstein-calendar-democrats-elon-musk-denies-visiting-island-rcna233955
https://www.yahoo.com/news/articles/fact-check-no-epic-island-201125711.html</t>
  </si>
  <si>
    <t xml:space="preserve">⚠ Whether any island visit actually occurred: UNVERIFIED.
⚠ At least two viral 'Musk island email' threads circulating from the Jan 2026 release are confirmed FABRICATIONS.</t>
  </si>
  <si>
    <t xml:space="preserve">P022</t>
  </si>
  <si>
    <t xml:space="preserve">Gerald Marie</t>
  </si>
  <si>
    <t xml:space="preserve">Named in sworn French victim testimony as having taken a victim to the countryside with Brunel, where Brunel attempted rape. Never charged in any Epstein-related matter.</t>
  </si>
  <si>
    <t xml:space="preserve">recruiter</t>
  </si>
  <si>
    <t xml:space="preserve">never charged in any Epstein-related matter (no charge recorded in the corpus)</t>
  </si>
  <si>
    <t xml:space="preserve">Unknown. Not covered by status_verification.md.</t>
  </si>
  <si>
    <t xml:space="preserve">• [alleged] 'A third victim met Brunel through Paris Planning and Karin Models; Brunel and Gerald Marie took her to the countryside where Brunel attempted rape.'  (EFTA00079597, pp.4-5, French victim testimony)</t>
  </si>
  <si>
    <t xml:space="preserve">• 1980s: Incident described in French victim testimony (EFTA00079597)</t>
  </si>
  <si>
    <t xml:space="preserve">The attempted rape in the quoted testimony is attributed to BRUNEL; Marie's role as stated is transporting the victim with Brunel. Tier 3 rests on sworn victim testimony, not on any charge. Corpus open question: 'Was Gerald Marie investigated?... His role in the broader recruitment network is undocumented in US files.'</t>
  </si>
  <si>
    <t xml:space="preserve">EFTA00079597</t>
  </si>
  <si>
    <t xml:space="preserve">⚠ Whether he was ever investigated: UNVERIFIED.
⚠ NOT COVERED in status_verification.md.</t>
  </si>
  <si>
    <t xml:space="preserve">P023</t>
  </si>
  <si>
    <t xml:space="preserve">Glenn Dubin</t>
  </si>
  <si>
    <t xml:space="preserve">Named in the SDNY prosecution memo as a man Ghislaine Maxwell directed a victim to engage in sex acts with, and separately documented in Epstein's financial architecture; never charged and not among the subjects analyzed for charges.</t>
  </si>
  <si>
    <t xml:space="preserve">financier, client, executive</t>
  </si>
  <si>
    <t xml:space="preserve">The prosecution memo records that Maxwell directed a victim to engage in sex acts with him and that his wife Eva was present during a directed massage; the memo makes no knowledge finding.</t>
  </si>
  <si>
    <t xml:space="preserve">Not covered by status_verification.md. Hedge fund billionaire, Highbridge Capital co-founder. Current status as of July 2026 unverified.</t>
  </si>
  <si>
    <t xml:space="preserve">Has denied the Giuffre allegations. No 2026 statement located.</t>
  </si>
  <si>
    <t xml:space="preserve">• [denied] '[Maxwell directed the victim to engage in sex acts with] Glen [...] Dubin'  (EFTA02731082, SDNY prosecution memo, p.57)
• [denied] Part of the 'lent out' victim's account, the most extensively documented testimony in the memo, spanning pp.54-60 with its own credibility assessment  (EFTA02731082, pp.54-60)
• [alleged] Listed on the FBI PROMINENT NAMES list  (EFTA01648951)
• [alleged] Named as 'G. Dubin' in the DB Zwirn/Jeepers settlement structure with a partnership interest valued at ~$3.8M and a backstop payment obligation; Highbridge Capital, which he co-founded, held $53.9M of Epstein investments — Epstein's largest single fund exposure  (EFTA02674602 pp.3, 6, 7, 8)</t>
  </si>
  <si>
    <t xml:space="preserve">• 1999-04-20: HAZE entity invests $35M with Highbridge Capital (EFTA02674602)
• 2001-01-11: Southern Financial LLC invests $18.9M with Highbridge Capital (EFTA02674602)
• 2000s: Victim reports Maxwell directing her to engage in sex acts with him (EFTA02731082 p.57)
• 2019-12-19: SDNY prosecution memo documents the contact; he is not among the subjects analyzed for charges (EFTA02731082)</t>
  </si>
  <si>
    <t xml:space="preserve">He is not directly named as a trustee, beneficiary or officeholder in any version of the Epstein trust — his connection to the estate runs entirely through his family (his wife Eva Andersson-Dubin was first successor trustee and contingent beneficiary; his daughter Celina was the primary residuary beneficiary). The corpus flags this routing as itself notable but draws no conclusion. Unlike many individuals in the memo, he appears in plain text rather than redacted, which the corpus reads as consistent with the memo's practice of naming non-subjects.</t>
  </si>
  <si>
    <t xml:space="preserve">EFTA02731082, EFTA01648951, EFTA02674602</t>
  </si>
  <si>
    <t xml:space="preserve">⚠ NOT COVERED in status_verification.md — criminal status, civil status, current position, and alive/deceased are all unverified against the July 2026 open-source record.
⚠ The corpus itself records a tier conflict for him (Tier 1 vs Tier 3).</t>
  </si>
  <si>
    <t xml:space="preserve">P024</t>
  </si>
  <si>
    <t xml:space="preserve">Harvey Weinstein</t>
  </si>
  <si>
    <t xml:space="preserve">Documented in the SDNY prosecution memo as having attempted a sexual assault during an Epstein-directed massage and named in the DS12 journals, but never charged in any Epstein-related matter. His separate 2020/2022/2025 convictions are unrelated to Epstein and do not make his Epstein-related tier T1.</t>
  </si>
  <si>
    <t xml:space="preserve">No corpus evidence establishes knowledge of the operation's structure; the allegation concerns his own alleged conduct.</t>
  </si>
  <si>
    <t xml:space="preserve">never charged in connection with Epstein. Separately convicted in unrelated cases: 2020 NY conviction overturned (2024); June 2025 NY retrial convicted on one count of criminal sexual act with the jury hung on the rape count; 2022 Los Angeles rape conviction (16 years) upheld on appeal in 2026 with resentencing ordered. In custody at Rikers Island as of 2026 reporting.</t>
  </si>
  <si>
    <t xml:space="preserve">Numerous settlements and judgments, none Epstein-related</t>
  </si>
  <si>
    <t xml:space="preserve">Total, but unrelated to Epstein — fired from The Weinstein Company (2017), expelled from the Academy, company bankrupted. Predates and is unrelated to EFTA.</t>
  </si>
  <si>
    <t xml:space="preserve">Incarcerated as of July 2026; awaiting resentencing in California and further New York proceedings. No Epstein-related development.</t>
  </si>
  <si>
    <t xml:space="preserve">Maintains all encounters were consensual; continues to appeal.</t>
  </si>
  <si>
    <t xml:space="preserve">• [alleged] 'Attempted sexual assault during directed massage'  (EFTA02731082, SDNY prosecution memo, pp.14, 58)
• [alleged] Named among individuals 'documented as having committed sexual assault or rape (Staley, Black, Weinstein)' who 'were not among the subjects analyzed for charges'  (EFTA02731082; corpus THREAD_05 §1)
• [alleged] Named as an abuser in the DS12 victim journals  (EFTA02731420, EFTA02731465 (per EFTA Entity Database v2.0, entry #8))
• [alleged] Listed on the FBI PROMINENT NAMES list  (EFTA01648951)</t>
  </si>
  <si>
    <t xml:space="preserve">• 2019-12-19: Documented in the SDNY prosecution memo; no charging analysis conducted for him (EFTA02731082)
• 2024: NY Court of Appeals overturns his 2020 New York conviction (separate matter)
• 2025-06: NY retrial: convicted on one count of criminal sexual act; jury hung on the rape count (separate matter)
• 2026: California appellate court upholds the 2022 Los Angeles rape conviction but ORDERS RESENTENCING (separate matter)</t>
  </si>
  <si>
    <t xml:space="preserve">EFTA02731082, EFTA01648951, EFTA02731420, EFTA02731465</t>
  </si>
  <si>
    <t xml:space="preserve">https://www.hollywoodreporter.com/news/general-news/appeals-court-harvey-weinstein-resentencing-conviction-stands-1236632009/
https://variety.com/2026/film/news/harvey-weinstein-rape-appeal-ruling-1236793229/
https://19thnews.org/2026/02/jeffrey-epstein-files-tracked-metoo-fallout/</t>
  </si>
  <si>
    <t xml:space="preserve">⚠ status_verification.md: 'there is no verified criminal or civil Epstein nexus for Weinstein' outside the EFTA documents themselves.
⚠ Whether Epstein specifically advised Weinstein during #MeToo: UNVERIFIED.</t>
  </si>
  <si>
    <t xml:space="preserve">P025</t>
  </si>
  <si>
    <t xml:space="preserve">Howard Lutnick</t>
  </si>
  <si>
    <t xml:space="preserve">Named on the FBI PROMINENT NAMES list for alleged 'ponzi scheme and money laundering', and his emails contradict his public claim of having cut ties with Epstein in 2005 — documented concerning conduct, never charged.</t>
  </si>
  <si>
    <t xml:space="preserve">financier, executive, politician</t>
  </si>
  <si>
    <t xml:space="preserve">aware-ignored</t>
  </si>
  <si>
    <t xml:space="preserve">He testified he knew little about Epstein, who was his next-door neighbour, while separately acknowledging he visited Epstein's island. These statements sit in tension and were a focus of congressional questioning.</t>
  </si>
  <si>
    <t xml:space="preserve">none as of 2026-07-31 — he faced public calls to resign but there is no verified resignation or removal.</t>
  </si>
  <si>
    <t xml:space="preserve">U.S. Secretary of Commerce as of July 2026. Testified before House Oversight May 6, 2026; faced resignation calls and remained in office.</t>
  </si>
  <si>
    <t xml:space="preserve">Testified he knew little about Epstein, who was his next-door neighbour. Has separately acknowledged visiting Epstein's island.</t>
  </si>
  <si>
    <t xml:space="preserve">• [alleged] The FBI PROMINENT NAMES list references Lutnick for 'ponzi scheme and money laundering' — a financial allegation, not a sexual one  (EFTA01648951 / EFTA01648955)
• [alleged] Email correspondence 2011-2012 regarding boat trips to Epstein's island, contradicting his public claim of cutting ties in 2005  (Dataset 9 emails (per Entity Database v2.0, entry #26))
• [alleged] November 2015: invited Epstein to a Hillary Clinton fundraiser he hosted  (Dataset 9 emails (per Entity Database v2.0))</t>
  </si>
  <si>
    <t xml:space="preserve">• 2011-2012: Email correspondence about boat trips to Epstein's island
• 2015-11: Invites Epstein to a Hillary Clinton fundraiser he hosted
• 2026-03: House Oversight appearance announced
• 2026-05-06: Testifies before the House Oversight Committee about his Epstein ties</t>
  </si>
  <si>
    <t xml:space="preserve">The PROMINENT NAMES list allegation against him is FINANCIAL (ponzi scheme and money laundering), not sexual — do not conflate. The corpus flags it as entirely unexamined: 'Given Lutnick's current public profile, this requires investigation.'</t>
  </si>
  <si>
    <t xml:space="preserve">EFTA01648951, EFTA01648955</t>
  </si>
  <si>
    <t xml:space="preserve">https://www.npr.org/2026/05/06/nx-s1-5814081/howard-lutnick-epstein-files-house-oversight-committee
https://www.cbsnews.com/news/howard-lutnick-jeffrey-epstein-testimony/
https://www.forbes.com/sites/alisondurkee/2026/05/06/howard-lutnicks-ties-to-epstein-explained-as-he-testifies-before-congress-today/
https://www.washingtonpost.com/politics/2026/03/03/lutnick-epstein-testimony-house-oversight/</t>
  </si>
  <si>
    <t xml:space="preserve">⚠ The PROMINENT NAMES financial allegation is unexamined in the corpus and has produced no charge or verified investigation.</t>
  </si>
  <si>
    <t xml:space="preserve">P026</t>
  </si>
  <si>
    <t xml:space="preserve">James Edward Staley</t>
  </si>
  <si>
    <t xml:space="preserve">Named in the SDNY prosecution memo as having raped a victim during an Epstein-directed massage, named as a co-conspirator in the USVI civil complaint against JPMorgan, and lifetime-banned from senior UK finance roles — but never charged with any crime in any jurisdiction.</t>
  </si>
  <si>
    <t xml:space="preserve">banker, client, trustee, coconspirator, executive</t>
  </si>
  <si>
    <t xml:space="preserve">He personally decided to retain Epstein as a JPMorgan private bank client after the 2008 felony conviction; he flew on Epstein's plane in 2005 with Kellen and Marcinkova during the Florida criminal investigation; he signed as trustee of the Epstein 2014 Trust three times, ratifying the employment-cliff and 'golden handcuffs' witness-control provisions on the third signature.</t>
  </si>
  <si>
    <t xml:space="preserve">never charged. Not accused of wrongdoing by law enforcement. Zero criminal charges filed against him in any jurisdiction.</t>
  </si>
  <si>
    <t xml:space="preserve">JPMorgan sued him in 2023 alleging he 'thwarted' efforts to sever Epstein ties; confidential settlement reached. UK FCA imposed a lifetime ban from senior UK finance roles for misleading the regulator; the Upper Tribunal upheld the ban. No comparable victim civil settlement documented.</t>
  </si>
  <si>
    <t xml:space="preserve">Resigned as Barclays CEO November 2021 — predates the EFTA releases. Permanently barred from senior UK financial roles.</t>
  </si>
  <si>
    <t xml:space="preserve">No senior financial-services role as of July 2026; banned in the UK. Reported (July 23, 2026) to be set to appear before a U.S. House panel on Epstein.</t>
  </si>
  <si>
    <t xml:space="preserve">Denies wrongdoing; expresses regret over the association; disputed the FCA's characterization of his relationship with Epstein.</t>
  </si>
  <si>
    <t xml:space="preserve">• [alleged] Raped a victim during a directed massage at Epstein's NYC residence, c.2011-2012: 'Epstein instructed [victim] to provide a massage to Jes Staley in Epstein's New York residence... he forced [victim] to touch his genitals and then raped [victim]'  (EFTA02731082, SDNY prosecution memo, p.32)
• [alleged] 'Staley forced her to hands on his crotch and had rough sex with her'  (EFTA01656173 p.17; variants EFTA01656152, EFTA01656198, EFTA01660622; EFTA01649143 p.4)
• [alleged] DANY assessment: 'AW / DANY do not doubt her allegations against JE and LB. They believe she was also abused by Staley. They have not found any independent corroboration.'  (EFTA00156644 p.2; EFTA02731662)
• [alleged] Named as a co-conspirator in sex trafficking in the USVI civil complaint against JPMorgan, Case 1:22-cv-10019-JSR  (EFTA00162121)
• [alleged] Flew on Epstein's plane in 2005, during the Florida criminal investigation, with Sarah Kellen and Nadia Marcinkova, 'publicly identified as Epstein's co-conspirators in trafficking offenses'  (EFTA00162121 p.39)
• [alleged] Personally decided to retain Epstein as a JPMorgan private bank client after the 2008 felony conviction: '[J]es Staley conferred with Steven Cutler and the decision was made to keep him as a PB client but only for banking and custody'  (EFTA01582849)
• [alleged] Vouched for Ghislaine Maxwell's JPMorgan banking relationship: 'Ms. Maxwell is known to Jes Staley'  (EFTA01582849; EFTA01582957)
• [alleged] A victim publicly named him in February 2025: 'I WAS BEING TRAFFICKED AND RAPED BY EPSTEIN AND [redacted] AND JES STALEY!'  (EFTA00143557)
• [alleged] Signed as trustee of the Epstein 2014 Trust three times, ratifying the employment cliff and 'golden handcuffs' witness-control provisions on the third signature  (EFTA01266380; EFTA01266403; EFTA01266427)
• [court-found] Misled the UK regulator about the nature of his relationship with Epstein  (UK FCA decision; Upper Tribunal upheld the lifetime ban)</t>
  </si>
  <si>
    <t xml:space="preserve">• 2000: Banking relationship with Epstein begins at the JPMorgan private bank (EFTA00162121 p.32)
• 2005: Flies on Epstein's plane with Kellen and Marcinkova during the Florida investigation (EFTA00162121 p.39)
• 2008: Confers with JPM General Counsel Steven Cutler; decision made to keep Epstein as a client after his felony conviction (EFTA01582849)
• 2011-2012: Rapes a victim during a directed massage at Epstein's NYC residence, per the SDNY prosecution memo (EFTA02731082 p.32)
• 2014-11-18: Signs the original Epstein 2014 Trust as trustee (EFTA01266380)
• 2015-05-01: Re-signs the Amendment and Restatement (EFTA01266403)
• 2015-09: Re-signs the First Amendment, ratifying the employment cliff and golden handcuffs (EFTA01266427)
• 2015-12-01: Becomes CEO of Barclays PLC
• 2018-11-28: His daughter Alexa Staley emails Epstein 'Saying hello...' (EFTA02614253) — contradicting a claim that he had had no contact with Epstein in several years
• 2019-12-19: SDNY prosecution memo documents the rape at p.32 (EFTA02731082); he is NOT among the five subjects analyzed for charges
• 2021-11: Resigns as Barclays CEO after the FCA investigation
• 2023-01-13: USVI v. JPMorgan complaint names him as a co-conspirator (EFTA00162121)
• 2026-07-23: Reported set to appear before a U.S. House panel on Epstein</t>
  </si>
  <si>
    <t xml:space="preserve">Dual role — he is simultaneously an alleged perpetrator (SDNY prosecution memo) and an operator of the estate's fiduciary machinery (trustee, three signatures, ~$250K/year compensation). Two structural anomalies: he was NOT among the five subjects analyzed for charges in the prosecution memo despite p.32 documenting a rape, and no resignation-as-trustee document exists anywhere in the 1.38-million-document EFTA corpus despite the trust providing a one-instrument resignation mechanism. His name is never redacted in any document examined, while the victim's name is consistently redacted.</t>
  </si>
  <si>
    <t xml:space="preserve">EFTA02731082, EFTA01656173, EFTA01656152, EFTA01656198, EFTA01660622, EFTA01649143, EFTA00156644, EFTA02731662, EFTA00162121, EFTA01582849, EFTA01582957, EFTA00143557, EFTA01266380, EFTA01266403, EFTA01266427, EFTA02614253, EFTA00019889, EFTA02674602</t>
  </si>
  <si>
    <t xml:space="preserve">https://www.fca.org.uk/news/press-releases/upper-tribunal-upholds-jes-staley-ban
https://www.bankingdive.com/news/jes-staley-fca-lifetime-ban-banking-epstein-barclays-uk/751754/
https://www.usnews.com/news/us/articles/2026-07-23/former-barclays-boss-jes-staley-to-face-us-house-panel-on-epstein
https://www.nbcnews.com/politics/justice-department/epstein-files-fallout-resignations-firings-investigations-rcna259702</t>
  </si>
  <si>
    <t xml:space="preserve">⚠ Outcome of his expected July 2026 House panel testimony: UNVERIFIED as of 2026-07-31.
⚠ The project's Entity Database v2.0 classifies him Tier 1; he has never been charged.</t>
  </si>
  <si>
    <t xml:space="preserve">P027</t>
  </si>
  <si>
    <t xml:space="preserve">Jeff Fuller</t>
  </si>
  <si>
    <t xml:space="preserve">15% owner and operational manager of MC2 Model Management, the agency documented as a trafficking front, who handled its finances directly with Epstein's accountant Richard Kahn. Never charged.</t>
  </si>
  <si>
    <t xml:space="preserve">operations, admin</t>
  </si>
  <si>
    <t xml:space="preserve">Inferred by the corpus from his March 2015 email declining to sponsor a model's visa — 'Jean Luc no longer wants to sponsor [her] in light of recent circumstances' — which the corpus states 'suggests awareness of MC2's true purpose.' No direct evidence of participation in abuse is asserted.</t>
  </si>
  <si>
    <t xml:space="preserve">never charged (no charge recorded in the corpus)</t>
  </si>
  <si>
    <t xml:space="preserve">Unknown.</t>
  </si>
  <si>
    <t xml:space="preserve">• [alleged] Held 15% ownership of MC2 Model Management, the agency documented as a trafficking front (Brunel held 85%)  (EFTA01480954)
• [alleged] Handled MC2 financial reporting, credit lines and wire transfers directly with Richard Kahn of Epstein's HBRK Associates  (EFTA01870235; EFTA01809528; EFTA01938180)
• [alleged] Declined to sponsor a model's visa: 'Jean Luc no longer wants to sponsor [her] in light of recent circumstances'  (EFTA01746651)</t>
  </si>
  <si>
    <t xml:space="preserve">• 2004-2005: MC2 incorporated; Fuller holds 15%
• 2015-03: Declines model sponsorship 'in light of recent circumstances' (EFTA01746651)</t>
  </si>
  <si>
    <t xml:space="preserve">The knowledge level rests on the corpus's own inference from a single 2015 email. Corpus open question: 'As 15% owner and operational manager, Fuller handled day-to-day business... Was he ever interviewed by law enforcement?' — unresolved.</t>
  </si>
  <si>
    <t xml:space="preserve">EFTA01480954, EFTA01746651, EFTA01870235, EFTA01809528, EFTA01938180</t>
  </si>
  <si>
    <t xml:space="preserve">⚠ Whether he was ever interviewed by law enforcement: UNVERIFIED.
⚠ NOT COVERED in status_verification.md.</t>
  </si>
  <si>
    <t xml:space="preserve">P028</t>
  </si>
  <si>
    <t xml:space="preserve">Jim Atkins</t>
  </si>
  <si>
    <t xml:space="preserve">Two primary FBI FD-302s record a victim's account of sexual assault beginning when she was ~14-15 and of his participation with Epstein in a blackmail scheme against her mother. Never charged, never investigated so far as the corpus records.</t>
  </si>
  <si>
    <t xml:space="preserve">client, groomer, coconspirator</t>
  </si>
  <si>
    <t xml:space="preserve">The described joint blackmail scheme with Epstein — using explicit photographs of the victim to coerce her mother, then reporting her to the Real Estate Commission using the accurate records — is joint conduct with Epstein, per the victim's FD-302 account. The corpus makes no explicit knowledge finding.</t>
  </si>
  <si>
    <t xml:space="preserve">never charged (no charge, investigation or outcome recorded in the corpus; he is not covered in status_verification.md)</t>
  </si>
  <si>
    <t xml:space="preserve">Unknown. Identified in the corpus only as an 'Ohio university official (~50s)' in the early 1980s.</t>
  </si>
  <si>
    <t xml:space="preserve">• [alleged] Sexual assault of a minor victim beginning ~1980-1982 on Hilton Head Island; 'Ohio university official (~50s)... Begins sexual assault of victim. Develops relationship with victim's mother.'  (EFTA02858481, FBI FD-302 Interview #2, pp.2-3)
• [alleged] Participated in a blackmail/embezzlement scheme against the victim's mother: his accountant 'Cecil' helped fix her real estate books to embezzle funds and pay Epstein, after which Atkins, Epstein and possibly Cecil reported her to the Real Estate Commission  (EFTA02858481, pp.2-3)
• [alleged] Threatened the victim years later: 'I don't give a shit if you end up in the gutter. Don't ever contact me again. Your mother knows what will happen.'  (EFTA02858491, FBI FD-302 Interview #3, p.1)</t>
  </si>
  <si>
    <t xml:space="preserve">• 1980-1982: Arrives on Hilton Head; begins sexual assault of the victim; develops a relationship with her mother (EFTA02858481)
• 1981-1982: Accountant 'Cecil' alters the mother's real estate books; Atkins, Epstein and possibly Cecil report her to the Real Estate Commission (EFTA02858481)
• 1983-1986: Victim's mother convicted of federal embezzlement and serves ~2 years in Columbia, SC; the victim calls Atkins at his Ohio university and is threatened (EFTA02858491)</t>
  </si>
  <si>
    <t xml:space="preserve">THE NAME IS EXPLICITLY PHONETIC — the corpus flags it as the FBI's phonetic rendering, so the spelling is unverified and the full identity is not established. A surname match exists between this person and 'Mr. Atkins', one of the 21 partially identified journal names, but the corpus draws no link and none should be inferred. The underlying victim account (Protect Source 3501.045) produced no prosecution; she declined to proceed in October 2019 citing the statute of limitations. The mother's federal embezzlement conviction — the corroborating fact — is independently verifiable via PACER but has NOT been verified.</t>
  </si>
  <si>
    <t xml:space="preserve">EFTA02858481, EFTA02858491, EFTA01245620</t>
  </si>
  <si>
    <t xml:space="preserve">⚠ NAME IS PHONETIC AND UNVERIFIED — do not publish as a positive identification.
⚠ NOT COVERED in status_verification.md.
⚠ The corroborating mother's-conviction record is 'independently verifiable via PACER (not yet verified)' per the corpus.</t>
  </si>
  <si>
    <t xml:space="preserve">P029</t>
  </si>
  <si>
    <t xml:space="preserve">Kathryn Ruemmler</t>
  </si>
  <si>
    <t xml:space="preserve">Sent Epstein a draft public statement about the U.S. Attorney General candidacy and asked for his feedback, appeared roughly 10,000 times in the releases, called him 'Uncle Jeffrey' and accepted expensive gifts — facts difficult to reconcile with a purely professional characterization. Never charged.</t>
  </si>
  <si>
    <t xml:space="preserve">attorney</t>
  </si>
  <si>
    <t xml:space="preserve">The volume and intimacy of the documented contact (roughly 10,000 appearances in the releases, 'Uncle Jeffrey', expensive gifts, repeated calendar entries 2014-2019) is inconsistent with the purely professional characterization she has offered, but no corpus evidence establishes knowledge of criminal conduct.</t>
  </si>
  <si>
    <t xml:space="preserve">Resigned as Chief Legal Officer / General Counsel of Goldman Sachs, announced Feb 12, 2026, effective June 2026.</t>
  </si>
  <si>
    <t xml:space="preserve">No verified current role as of July 2026. Former White House Counsel (Obama) and former Latham &amp; Watkins partner.</t>
  </si>
  <si>
    <t xml:space="preserve">Said 'media attention on me, relating to my prior work as a defense attorney, was becoming a distraction.' Has framed her contact with Epstein as arising from legal representation.</t>
  </si>
  <si>
    <t xml:space="preserve">• [alleged] October 2014: sent Epstein a DRAFT public statement declining consideration for U.S. Attorney General and asked for his feedback  (Dataset 9 emails; EFTA calendars (per Entity Database v2.0, entry #25))
• [alleged] Appeared repeatedly on Epstein's calendars for meetings, meals and travel, 2014-2019  (EFTA calendars (per Entity Database v2.0))
• [alleged] The Epstein estate asserted attorney-client privilege over HUNDREDS of emails with Epstein  (Entity Database v2.0, entry #25)
• [alleged] A $53,750 payment to JetSuite Air on 2019-05-01 carried the wire detail 'Reference Kathy Ruemmler'  (EFTA01681865 Exhibit P)
• [alleged] Appeared roughly 10,000 times in the 2026 releases; emails show her calling Epstein 'Uncle Jeffrey' and accepting expensive gifts  (Jan 30, 2026 DOJ EFTA release, reported by CNBC/NBC News)</t>
  </si>
  <si>
    <t xml:space="preserve">• 2014-10: Sends Epstein a draft statement declining consideration for Attorney General and asks for his feedback
• 2014-2019: Appears repeatedly on Epstein's calendars for meetings, meals and travel
• 2019-05-01: $53,750 payment to JetSuite Air referencing her (EFTA01681865)
• 2026-02-12: Resignation as Chief Legal Officer / General Counsel of Goldman Sachs announced, effective June 2026</t>
  </si>
  <si>
    <t xml:space="preserve">https://www.cnbc.com/2026/02/12/epstein-files-goldman-sachs-kathy-ruemmler.html
https://www.nbcnews.com/business/business-news/kathy-ruemmler-leaves-goldman-sachs-epstein-files-fallout-rcna258862
https://www.npr.org/2026/02/13/nx-s1-5713309/goldman-sachs-epstein-ties-resignation
https://www.britannica.com/topic/Epstein-Files-Fallout-The-Resignations-Firings-and-Arrests</t>
  </si>
  <si>
    <t xml:space="preserve">⚠ No verified current role as of July 2026.</t>
  </si>
  <si>
    <t xml:space="preserve">P030</t>
  </si>
  <si>
    <t xml:space="preserve">Leon Black</t>
  </si>
  <si>
    <t xml:space="preserve">The most extensively documented uncharged subject in the corpus — three independent victims, the SDNY prosecution memo, DANY referrals, medical records, wire payments and journal naming — but he has never been charged with any crime, which rules out T1, and the evidence against him extends far beyond the DS12 journals, which rules out T1J.</t>
  </si>
  <si>
    <t xml:space="preserve">The SDNY prosecution memo records Epstein directing a victim to massage him at Epstein's residence; three independent victims describe the same signature violence; he paid Epstein $158M with no written services agreement; and he contacted a victim after learning of her statements.</t>
  </si>
  <si>
    <t xml:space="preserve">never charged. No known criminal investigation.</t>
  </si>
  <si>
    <t xml:space="preserve">Paid $62.5 million to the U.S. Virgin Islands (2023) to exit its investigation, without admission of liability. Doe v. Black (S.D.N.Y.) rape claim proceeds to trial; he has not been found liable. Defeated a defamation claim by Guzel Ganieva. March 2026 securities fraud class action against Apollo and Black pending. Was ordered deposed in Epstein victims' suit against Bank of America; BofA settled, scuttling the deposition. [VERIFIED FROM OPINION] Jane Doe v. Leon Black, 1:23-cv-06418 (JGLC): single VGMVPL claim alleging 2002 rape at Epstein's Manhattan townhouse at age 16. Case-terminating sanctions DENIED — the rape claim remains alive. Discovery stayed pending the Second Circuit / N.Y. Court of Appeals timeliness question (Parker v. Alexander). No trial date. Black has NOT been found liable. Wigdor brought three matters against Black in total — Ganieva (2021, dismissed), Pierson (2022, discontinued with prejudice Feb 2024), and this case — not the 10+ suggested elsewhere in the corpus.</t>
  </si>
  <si>
    <t xml:space="preserve">Stepped down as Apollo CEO January 2021 and later as chairman — fallout PREDATES the 2026 EFTA releases. 2026 business consequence: school districts backed out of Lifetouch contracts after Apollo's acquisition.</t>
  </si>
  <si>
    <t xml:space="preserve">Private investor and philanthropist as of July 2026; no operating role at Apollo. Testified voluntarily before House Oversight June 26, 2026 and was then subpoenaed twice by Chairman Comer to return under oath.</t>
  </si>
  <si>
    <t xml:space="preserve">Says Epstein 'duped' him; expresses regret for the association; denies all allegations of sexual misconduct.</t>
  </si>
  <si>
    <t xml:space="preserve">• [alleged] Sexually assaulted a victim during a directed massage at Epstein's New York residence, c.2011-2012: she 'attempted to give Black an ordinary massage, but Black began initiating sexual contact, at which point [she] ran out of the room'  (EFTA02731082, SDNY prosecution memo, p.32)
• [alleged] 7-8 years of violent sexual assault of Victim 1, with signature violence — biting of genitalia that intensified with the victim's pain  (EFTA02731526; EFTA02731576)
• [alleged] Victim 2, independent, assaulted in 2001 at Epstein's Manhattan townhouse: 'he violently bit down on her vulva, labia and clitoris. The biting would get harder and his teeth clamp down more when she yelled out in pain'  (EFTA02731729)
• [alleged] Rape of a 16-year-old using adult sex toys, causing bleeding; 'Black and others at Epstein's house would not take her to the doctor and instead flew her out of NY the next day'  (EFTA02731488; EFTA02731662)
• [alleged] Epstein and Black referred to the minor victim as 'being 10'  (EFTA02731488)
• [alleged] Named among 30+ abusers in handwritten victim journals authenticated by court-ordered forensic examination (gel pen, no evidence of recent fabrication)  (EFTA02731724; EFTA02731420; EFTA02731465; EFTA02731512)
• [alleged] Victim text message: 'Leon. You sexually harassed me, sex trafficked me, raped me, and eventually blacklisted me...'  (EFTA02731576)
• [alleged] Wire payments to a victim from three accounts — 'Leon J. Black,' 'J. Black Trust,' 'E Trust' — $15K to $167K per wire, running through 2021, across almost 700 pages of bank statements  (EFTA02731526)
• [alleged] Paid Epstein $158 million (2012-2017) for 'tax and estate planning services' with no formal services agreement; refused to answer Senate Finance Committee questions on how payments were calculated  (EFTA02731023, Senate Finance Committee letter, 2023-07-24)
• [alleged] Witness intimidation: contacted the victim after learning of her statements ('you must appreciate how damaging they would be to me and my reputation'); retained victims'-rights attorney Brad Edwards; victim forced to sign an NDA under duress  (EFTA02731525; EFTA02731577; EFTA02731576)
• [alleged] OB-GYN medical records from 2011 and 2019 documenting sexual assault injuries  (EFTA02731662)
• [alleged] Securities fraud class action against Apollo Global Management and Black alleging concealment of Epstein-related payments and ties from shareholders  (Filed March 2026 (D&amp;O Diary reporting))</t>
  </si>
  <si>
    <t xml:space="preserve">• 2001: Victim 2 assaulted at Epstein's Manhattan townhouse; Black gave her $5,000 in cash afterward (EFTA02731729)
• 2006: GRATs created and funded with Apollo partnership interests (~$585M appraised, expected to exceed $2B) (EFTA02731023)
• 2011-2012: Sexual assault during a directed massage at Epstein's NYC residence (EFTA02731082 p.32)
• 2012-2017: $158M paid to Epstein (EFTA02731023)
• 2021-01: Steps down as Apollo CEO (later as chairman) — fallout predating the EFTA releases
• 2021-04-22: SDNY AUSA first contacted by Jeanne Christensen about Black (EFTA02731684)
• 2021-05-18: First and only SDNY victim interview (EFTA02731699)
• 2021-05-28: SDNY: 'I'm not inclined to open' (EFTA02731578)
• 2022-01-21: SDNY: 'we are not likely to open another investigation' (EFTA02731593)
• 2023-07-21: $62.5M USVI settlement becomes public
• 2023-07-22: SDNY Civil Rights Unit formally declines — 'no evidence of overlap with Maxwell' — the day after the settlement became public (EFTA02731660)
• 2024-03-15: Victim testifies before Judge Rakoff; forensic examination of journals ordered (EFTA02731724)
• 2026-03: Securities fraud class action filed against Apollo and Black
• 2026-04-25: Judge Jessica Clarke sanctions plaintiff's counsel in Doe v. Black; case-terminating sanctions DENIED; case proceeds to trial on the underlying rape allegations
• 2026-06-26: Testifies voluntarily before House Oversight
• 2026-07: Chairman Comer issues two subpoenas requiring him to return under oath approximately three weeks later</t>
  </si>
  <si>
    <t xml:space="preserve">Doe v. Black is the case in which Journal-based evidence is contested: on 2026-04-25 Judge Jessica Clarke (S.D.N.Y., Doe v. Black) found the plaintiff falsified sonogram images in the DS12 victim journals, sanctioned Wigdor LLP and Jeanne Christensen, and barred the falsified entries from trial, while DENYING case-terminating sanctions and allowing the rape claim to proceed. The falsified-journal finding bears directly on journal-sourced evidence against Black. It does not disprove the underlying allegations — the court expressly let the rape claim proceed — but it is a real credibility problem for evidence routed through that litigation. Separately, SDNY's stated ground for declining ('no evidence of overlap with Maxwell') is contradicted by material in its own file, which includes DANY testimony describing Maxwell introducing the minor victim.</t>
  </si>
  <si>
    <t xml:space="preserve">EFTA02731082, EFTA02731526, EFTA02731576, EFTA02731729, EFTA02731488, EFTA02731662, EFTA02731724, EFTA02731420, EFTA02731465, EFTA02731512, EFTA02731023, EFTA02731525, EFTA02731577, EFTA02731660, EFTA02731593, EFTA02731684, EFTA02731699, EFTA02674602</t>
  </si>
  <si>
    <t xml:space="preserve">https://www.cnbc.com/2026/06/26/leon-black-jeffrey-epstein-house-oversight-committee.html
https://oversight.house.gov/release/chairman-comer-issues-two-subpoenas-to-leon-black/
https://www.cbsnews.com/news/billionaire-leon-black-testify-epstein-panel/
https://reason.com/volokh/2026/04/25/judge-finds-epstein-related-plaintiff-lies-spoliation-and-lawyer-misconduct-in-rape-lawsuit-against-investor-leon-black/
https://www.dandodiary.com/2026/03/articles/securities-litigation/epstein-disclosures-related-securities-suit-filed-against-apollo-leon-black/
https://www.nbcnews.com/news/us-news/leon-black-billionaire-financier-deposed-epstein-victims-suit-bank-ame-rcna263218</t>
  </si>
  <si>
    <t xml:space="preserve">⚠ The project's Entity Database v2.0 classifies him Tier 1; that classification predates the April 2026 sanctions ruling and does not reflect the fact that he has never been charged.</t>
  </si>
  <si>
    <t xml:space="preserve">P031</t>
  </si>
  <si>
    <t xml:space="preserve">Leslie Wexner</t>
  </si>
  <si>
    <t xml:space="preserve">Named as one of four subjects for 'immediate approach' in the July 2019 SDNY arrest briefing and characterized as an Epstein co-conspirator in an FBI internal memo — investigative characterizations that raise serious questions — but never charged and never the subject of a stated conduct allegation in the corpus.</t>
  </si>
  <si>
    <t xml:space="preserve">financier, executive</t>
  </si>
  <si>
    <t xml:space="preserve">Unresolved. The corpus gives him two seemingly contradictory positions — victim of Epstein's theft, and a named SDNY immediate-approach target on the FBI PROMINENT NAMES list — and resolves neither.</t>
  </si>
  <si>
    <t xml:space="preserve">never charged. An FBI internal memo referred to him as an Epstein co-conspirator, but that is an investigative characterization, not a charge and not a legal finding.</t>
  </si>
  <si>
    <t xml:space="preserve">No verified current Epstein-related suit against him.</t>
  </si>
  <si>
    <t xml:space="preserve">Stepped down as CEO of L Brands in 2020 — predates EFTA.</t>
  </si>
  <si>
    <t xml:space="preserve">Retired billionaire and philanthropist (Wexner Foundation) as of July 2026. Subpoenaed by House Oversight in January 2026 and deposed in February 2026.</t>
  </si>
  <si>
    <t xml:space="preserve">Has long maintained he was deceived and defrauded by Epstein and severed ties in 2007. He has previously said Epstein misappropriated more than $46 million from him.</t>
  </si>
  <si>
    <t xml:space="preserve">• [alleged] Named as one of four subjects for 'immediate approach' in the SDNY arrest briefing of July 2019, alongside Groff, Maxwell and Brunel  (EFTA01653331)
• [alleged] An FBI internal memo referred to him as an Epstein co-conspirator — an investigative characterization, not a charge and not a legal finding  (FBI internal memo, reported Feb 2026)
• [alleged] Epstein's wealth was 'virtually all' derived from money stolen from him; 'several hundred million' stolen, with a $100M settlement in January 2008 returning some of it  (EFTA02731082, pp.64-65)
• [alleged] Epstein used him as leverage over JPMorgan: 'if JP Morgan ever decided to terminate its relationship with Epstein, the bank would lose Wexner and the other wealthy connections Epstein had promised'  (EFTA00162121, p.39)
• [alleged] A House Oversight panel stated he gave Epstein 'about a billion dollars' — a congressional characterization of the financial relationship, not a judicial finding  (House Oversight panel statement, Feb 2026)
• [alleged] Maria Farmer was sexually assaulted by Epstein and Maxwell at the Wexner compound, New Albany, Ohio, in 1996 — no allegation of participation by Wexner  (Maria Farmer complaint (1996 FBI/NYPD))
• [alleged] Listed on the FBI PROMINENT NAMES list  (EFTA01648951)</t>
  </si>
  <si>
    <t xml:space="preserve">• 1996: Maria Farmer alleges she was sexually assaulted by Epstein and Maxwell at the Wexner compound, New Albany, Ohio
• 2007: Says he severed ties with Epstein
• 2008-01: $100M settlement returning some of the misappropriated funds (EFTA02731082 pp.64-65)
• 2019-07: Named an SDNY immediate-approach target in the arrest briefing (EFTA01653331)
• 2020: Steps down as CEO of L Brands — predates EFTA
• 2026-01-07: House Oversight Democrats force a vote to subpoena him along with estate executors Indyke and Kahn
• 2026-01-30: One of six previously redacted names revealed in the DOJ release
• 2026-02-17: Deposed by House Oversight (Feb 17-18); Rep. Ansari attends</t>
  </si>
  <si>
    <t xml:space="preserve">Material tier caveat: the corpus gives him two contradictory-seeming positions — fraud victim (Epstein's wealth 'virtually all' stolen from him) and named investigative subject on the FBI PROMINENT NAMES list — and resolves neither. The Entity Database v2.0 itself hedges his tier as 'T3/T4.' No stated allegation of sexual conduct against him exists in the corpus.</t>
  </si>
  <si>
    <t xml:space="preserve">EFTA01653331, EFTA02731082, EFTA00162121, EFTA01648951, EFTA02674602</t>
  </si>
  <si>
    <t xml:space="preserve">https://www.jta.org/2026/02/11/united-states/unredacted-epstein-files-and-planned-deposition-thrust-jewish-philanthropist-leslie-wexner-back-into-spotlight
https://www.forbes.com/sites/simonemelvin/2026/02/16/everything-we-know-about-les-wexner-in-the-epstein-files/
https://abc6onyourside.com/news/local/house-oversight-committee-panel-les-leslie-wexner-jeffrey-epstein-billion-dollars-l-brands-limited-victorias-secret-new-albany-billionaire-columbus-ohio
https://ansari.house.gov/media/press-releases/ansari-to-attend-les-wexner-deposition-as-member-of-house-oversight-committee
https://oversightdemocrats.house.gov/news/press-releases/ranking-member-robert-garcia-statement-on-forcing-subpoenas-of-epstein-co-conspirator-les-wexner-and-epstein-estate-executors-darren-indyke-and-richard-kahn</t>
  </si>
  <si>
    <t xml:space="preserve">⚠ Content of his February 2026 House Oversight deposition: UNVERIFIED — not publicly released in full.
⚠ Entity Database v2.0 records his tier as 'T3/T4' — unresolved.</t>
  </si>
  <si>
    <t xml:space="preserve">P032</t>
  </si>
  <si>
    <t xml:space="preserve">Miroslav Lajčák</t>
  </si>
  <si>
    <t xml:space="preserve">Released 2017-2019 emails include one requesting introductions to young girls and participation in 'private games' — communications suggesting awareness and solicitation, sent partly while he was Slovak Foreign Minister. Never charged. (The project's Entity Database v2.0 classifies him T4; the documentary content supports T3.)</t>
  </si>
  <si>
    <t xml:space="preserve">politician</t>
  </si>
  <si>
    <t xml:space="preserve">Per the documentary record, one released email requested introductions to young girls and participation in 'private games.' He has said: 'When I read those messages today, I feel like a fool.'</t>
  </si>
  <si>
    <t xml:space="preserve">Resigned as Slovakia's national security adviser, February 2026.</t>
  </si>
  <si>
    <t xml:space="preserve">Private citizen as of July 2026. Former Slovak Foreign Minister, former President of the UN General Assembly, former EU Special Representative.</t>
  </si>
  <si>
    <t xml:space="preserve">"When I read those messages today, I feel like a fool. It was a private conversation." He denies wrongdoing but resigned. He earlier said contacts were 'strictly professional' but acknowledged they were 'a mistake' and 'unacceptable.'</t>
  </si>
  <si>
    <t xml:space="preserve">• [admitted] One released email requested introductions to young girls and participation in 'private games'  (2026 EFTA release of 2017-2019 emails, reported by NBC News / Britannica)
• [alleged] Other emails discussed expanding far-right political networks in Europe  (2026 EFTA release)
• [alleged] Some of the correspondence dates to his time as Slovak Foreign Minister  (2026 EFTA release)</t>
  </si>
  <si>
    <t xml:space="preserve">• 2017-2019: Email correspondence with Epstein, partly during his tenure as Slovak Foreign Minister
• 2026-01-31: Resignation reported following the EFTA revelations
• 2026-02: Resigns as Slovakia's national security adviser</t>
  </si>
  <si>
    <t xml:space="preserve">TIER UPGRADE FROM PROJECT BASELINE: the project's Entity Database v2.0 places him at Tier 4 (social/professional contact). The documented content of the emails — a request for introductions to young girls and participation in 'private games' — meets the Tier 3 standard of communications suggesting awareness. Flagged for reviewer confirmation.</t>
  </si>
  <si>
    <t xml:space="preserve">⚠ Entity Database v2.0 classifies him T4; this record upgrades him to T3 on the documentary content of the emails.</t>
  </si>
  <si>
    <t xml:space="preserve">P033</t>
  </si>
  <si>
    <t xml:space="preserve">Peter Listerman</t>
  </si>
  <si>
    <t xml:space="preserve">Listed in the FBI co-conspirator chart (Aug 15, 2019) as a 'model matchmaker' and subject/witness alongside Maxwell and Brunel, and described in Epstein's correspondence as a seller/supplier of young models to oligarchs. Never charged.</t>
  </si>
  <si>
    <t xml:space="preserve">No corpus evidence establishes his knowledge of Epstein's criminal conduct; his documented role is as an intermediary connecting Epstein with young women through modeling-industry networks.</t>
  </si>
  <si>
    <t xml:space="preserve">never charged in any Epstein-related matter in the U.S.</t>
  </si>
  <si>
    <t xml:space="preserve">Russian 'VIP matchmaker' / model-introduction agency operator. Current whereabouts UNVERIFIED as of July 2026.</t>
  </si>
  <si>
    <t xml:space="preserve">UNVERIFIED — no 2026 statement located.</t>
  </si>
  <si>
    <t xml:space="preserve">• [alleged] Listed in the FBI co-conspirator chart (2019-08-15) as 'model matchmaker' and subject/witness, alongside Maxwell and Brunel  (FBI chart (per Entity Database v2.0, entry #24); CNN Feb 2026)
• [alleged] Epstein described him in correspondence as a seller/supplier of young models to oligarchs  (February 2026 EFTA release, reported by Law &amp; Crime and Izvestia (2026-02-03))</t>
  </si>
  <si>
    <t xml:space="preserve">• 2019-08-15: Listed in the FBI co-conspirator chart as 'model matchmaker'
• 2026-02-03: Named in the February 2026 releases; reported by Law &amp; Crime and Izvestia</t>
  </si>
  <si>
    <t xml:space="preserve">https://lawandcrime.com/high-profile/the-epstein-linked-matchmaker-who-allegedly-connected-foreign-girls-with-powerful-men/
https://en.iz.ru/en/2036649/2026-02-03/epsteins-files-mentioned-head-vip-dating-agency-peter-listerman</t>
  </si>
  <si>
    <t xml:space="preserve">⚠ Current whereabouts and alive/deceased status: UNVERIFIED.
⚠ Whether any authority has opened an investigation: UNVERIFIED.
⚠ No 2026 public statement located.</t>
  </si>
  <si>
    <t xml:space="preserve">P034</t>
  </si>
  <si>
    <t xml:space="preserve">Peter Mandelson</t>
  </si>
  <si>
    <t xml:space="preserve">Arrested February 2026 by the Metropolitan Police for misconduct in public office over alleged leaking of government information to Epstein, received $75,000 in payments from Epstein, and was named by a victim alongside Jes Staley — but has never been charged.</t>
  </si>
  <si>
    <t xml:space="preserve">He continued and deepened the relationship well after Epstein's 2008 conviction, calling him 'my best pal' in released files, and has himself referred to 'a handful of misguided historical emails, which I deeply regret sending.'</t>
  </si>
  <si>
    <t xml:space="preserve">arrested, not charged: ARRESTED 2026-02-23 by the London Metropolitan Police, investigated for misconduct in public office (allegedly leaking government information to Epstein). Released. NOT CHARGED as of 2026-07-31.</t>
  </si>
  <si>
    <t xml:space="preserve">Comprehensive. Fired as British Ambassador to the United States September 2025; resigned from the Labour Party Feb 1, 2026; resigned from the House of Lords Feb 3, 2026; his former lobbying firm severed ties Feb 6, 2026. Collateral casualty: Morgan McSweeney resigned as Keir Starmer's chief of staff over having recommended Mandelson despite known Epstein ties.</t>
  </si>
  <si>
    <t xml:space="preserve">Private citizen under police investigation as of July 2026; no party, parliamentary, or diplomatic role.</t>
  </si>
  <si>
    <t xml:space="preserve">Referred to 'a handful of misguided historical emails, which I deeply regret sending.' Released files showed he called Epstein 'my best pal.'</t>
  </si>
  <si>
    <t xml:space="preserve">• [alleged] Misconduct in public office — allegedly leaking UK government information to Epstein  (London Metropolitan Police investigation; arrest 2026-02-23)
• [alleged] $75,000 in payments from Epstein (2003-2004); emails suggest he may have shared confidential UK government information about EU and UK finances  (Dataset 9 emails (per Entity Database v2.0, entry #23); CBS Jan 30, 2026)
• [alleged] A victim named him alongside Jes Staley in a February 2025 social media post  (EFTA00143557)
• [alleged] Drinks with Staley, Mandelson and Epstein scheduled by Lesley Groff, December 2009  (EFTA02434434)
• [alleged] Joined a Gates-Nikolic dinner at Epstein's NYC townhouse, 2011-02-01  (EFTA01797988)</t>
  </si>
  <si>
    <t xml:space="preserve">• 2003-2004: Receives $75,000 in payments from Epstein
• 2009-12-09: Groff schedules drinks between Staley, Mandelson and Epstein (EFTA02434434)
• 2011-02-01: Dinner at Epstein's NYC townhouse with Bill Gates and Boris Nikolic (EFTA01797988)
• 2025-02: Victim social media post naming him alongside Staley (EFTA00143557)
• 2025-09: Fired as British Ambassador to the United States
• 2026-02-01: Resigns from the Labour Party
• 2026-02-03: Resigns from the House of Lords
• 2026-02-06: His former lobbying firm severs ties
• 2026-02-23: ARRESTED by the London Metropolitan Police, investigated for misconduct in public office; released without charge</t>
  </si>
  <si>
    <t xml:space="preserve">The corpus does not reproduce the portion of EFTA00143557 naming Mandelson; the quoted portion reads 'I WAS BEING TRAFFICKED AND RAPED BY EPSTEIN AND [redacted] AND JES STALEY!' — the redacted name there is unattributed and must NOT be assumed to be Mandelson. His arrest concerned information leaking, not sexual offences.</t>
  </si>
  <si>
    <t xml:space="preserve">EFTA00143557, EFTA02434434, EFTA01797988</t>
  </si>
  <si>
    <t xml:space="preserve">https://www.cnn.com/2026/02/23/uk/peter-mandelson-arrested-gbr-intl
https://www.pbs.org/newshour/world/british-police-arrest-former-ambassador-to-the-u-s-peter-mandelson-in-probe-into-epstein-ties
https://thehill.com/policy/international/5752182-peter-mandelson-released-misconduct-epstein/
https://www.nbcnews.com/politics/justice-department/epstein-files-fallout-resignations-firings-investigations-rcna259702</t>
  </si>
  <si>
    <t xml:space="preserve">⚠ The redacted name in EFTA00143557 is unattributed; do not assume it is Mandelson.</t>
  </si>
  <si>
    <t xml:space="preserve">P035</t>
  </si>
  <si>
    <t xml:space="preserve">Peter Marcinkova</t>
  </si>
  <si>
    <t xml:space="preserve">Named in the allegation that Nadia Marcinkova was 'purchased from her family in Slovakia at approximately age 14', and documented as the recipient of a signed gift declaration from Epstein transferring a motorcycle to his Presov address. Never charged.</t>
  </si>
  <si>
    <t xml:space="preserve">• [alleged] Nadia Marcinkova was 'allegedly purchased from her family in Slovakia at approximately age 14 and brought to the United States by Epstein'  (EFTA01186070)
• [alleged] Received a 2000 Harley Davidson Fat Boy (valued $9,905 for customs) from Epstein under a gift declaration signed 2006-06-01, addressed to 'Mr. Peter Marcinkova, Malinovia 14, Presov, Slovakia 08001'  (EFTA00585893)</t>
  </si>
  <si>
    <t xml:space="preserve">• 2006-06-01: Receives the motorcycle from Epstein under a signed gift declaration (EFTA00585893)</t>
  </si>
  <si>
    <t xml:space="preserve">Tier 3 rests on two documented items — the 'purchased from her family' allegation and a signed gift declaration evidencing a financial relationship between Epstein and the father — not on any charge. The corpus states no more than this about him. The relationship between the gift and the alleged purchase is not established.</t>
  </si>
  <si>
    <t xml:space="preserve">EFTA01186070, EFTA00585893</t>
  </si>
  <si>
    <t xml:space="preserve">⚠ NOT COVERED in status_verification.md.
⚠ Relationship between the 2006 gift and the alleged purchase: NOT ESTABLISHED.</t>
  </si>
  <si>
    <t xml:space="preserve">P036</t>
  </si>
  <si>
    <t xml:space="preserve">R. Alexander Acosta</t>
  </si>
  <si>
    <t xml:space="preserve">As U.S. Attorney he authorized the 2007 non-prosecution agreement despite a prosecution memo recommending a 60-count indictment and FBI identification of ~35 underage victims, granting blanket immunity to all named and unnamed co-conspirators. Entity Database v2.0 places him at Tier 3. Never charged.</t>
  </si>
  <si>
    <t xml:space="preserve">prosecutorial</t>
  </si>
  <si>
    <t xml:space="preserve">attorney, politician</t>
  </si>
  <si>
    <t xml:space="preserve">knew-everything</t>
  </si>
  <si>
    <t xml:space="preserve">He received AUSA Villafaña's prosecution memo and the drafted indictment and authorized the NPA anyway. Bloomberg reporting (March 2026) established that Villafaña repeatedly pushed her superiors to indict Epstein in 2007 and drafted an indictment — shifting responsibility upward to Acosta and Main Justice.</t>
  </si>
  <si>
    <t xml:space="preserve">never charged. A 2020 DOJ Office of Professional Responsibility review found he exercised 'poor judgment' but did not find professional misconduct.</t>
  </si>
  <si>
    <t xml:space="preserve">No personal liability. The CVRA litigation brought by victims found the 2007 NPA violated the Crime Victims' Rights Act, but the agreement was never voided.</t>
  </si>
  <si>
    <t xml:space="preserve">Resigned as U.S. Secretary of Labor, July 2019 — the original Epstein-driven resignation, predating EFTA by six years.</t>
  </si>
  <si>
    <t xml:space="preserve">Private life / academia as of July 2026. No verified 2026 position.</t>
  </si>
  <si>
    <t xml:space="preserve">Has defended the 2007 non-prosecution agreement as the best achievable outcome given the state case.</t>
  </si>
  <si>
    <t xml:space="preserve">• [admitted] Authorized the NPA (2007-09-24) despite a prosecution memo recommending a 60-count indictment and FBI identification of ~35 underage victims; the NPA gave blanket immunity to all named AND unnamed co-conspirators  (2007 NPA (EFTA01186086); 2007 prosecution memo (EFTA01186070); DOJ OIG Report Nov 2020)
• [court-found] Federal courts later ruled the government violated the Crime Victims' Rights Act in concealing the NPA from victims  (Jane Doe v. United States, 9:08-cv-80736 (S.D. Fla.))
• [court-found] DOJ Office of Professional Responsibility (2020) found he exercised 'poor judgment' but did NOT find professional misconduct  (DOJ OPR review, 2020)
• [alleged] Per a lawmaker present, in his September 2025 House Oversight testimony he expressed 'no remorse' for the deal  (Forbes, 2025-09-19)</t>
  </si>
  <si>
    <t xml:space="preserve">• 2007-09-24: NPA signed under his authority (EFTA01186086)
• 2017: Nominated by Trump as Secretary of Labor — the same U.S. Attorney who negotiated Epstein's NPA
• 2019-07: Resigns as U.S. Secretary of Labor after Epstein's arrest — the original Epstein-driven resignation
• 2020-11: DOJ OPR finds 'poor judgment' but no professional misconduct
• 2025-09-19: Testifies before House Oversight; a lawmaker present says he expressed 'no remorse'
• 2025-10-17: His transcript is publicly released; Chairman Comer subsequently asks him to clarify his testimony</t>
  </si>
  <si>
    <t xml:space="preserve">He appears in the project's Entity Database v2.0 at Tier 3 despite the tier legend placing prosecutors at Tier 6; both classifications are defensible and the conflict is recorded rather than resolved. Bloomberg's March 2026 reporting is materially exculpatory for AUSA A. Marie Villafaña and correspondingly shifts responsibility to Acosta and Main Justice — most older investigation files will need this correction. DUAL CLASSIFICATION: also carried at T6 (prosecutorial) in the project tier legend, which places prosecutors at Tier 6 regardless of conduct. Retained at T3 here because the tier reflects the conduct at issue (authorising the 2007 NPA), not the job title.</t>
  </si>
  <si>
    <t xml:space="preserve">EFTA01186086, EFTA01186070, EFTA00225378</t>
  </si>
  <si>
    <t xml:space="preserve">https://abcnews.com/Politics/alex-acosta-former-us-attorney-negotiated-epsteins-plea/story?id=125731737
https://www.forbes.com/sites/alisondurkee/2025/09/19/prosecutor-acosta-who-gave-epstein-sweetheart-deal-testifies-he-no-remorse-lawmaker-says/
https://robertgarcia.house.gov/media/in-the-news/bloomberg-house-oversight-chair-asks-acosta-clarify-epstein-testimony
https://www.bloomberg.com/news/articles/2026-03-25/how-jeffrey-epstein-prosecutor-marie-villafana-pushed-for-an-indictment-in-2007</t>
  </si>
  <si>
    <t xml:space="preserve">⚠ No verified 2026 position or development.
⚠ Tier conflict: Entity Database v2.0 lists him T3; the tier legend places prosecutors at T6.</t>
  </si>
  <si>
    <t xml:space="preserve">P037</t>
  </si>
  <si>
    <t xml:space="preserve">Robin Leach</t>
  </si>
  <si>
    <t xml:space="preserve">Named as a client in an alleged sex trafficking ring in a primary FBI document (NTOC complaint) — which formally satisfies the Tier 3 documentation standard, but the FBI itself deemed the complaint NOT CREDIBLE.</t>
  </si>
  <si>
    <t xml:space="preserve">never charged. The sole allegation against him was found not credible by the FBI.</t>
  </si>
  <si>
    <t xml:space="preserve">Not covered by status_verification.md. (Robin Leach, the television host, died in 2018; the corpus does not confirm this is the same person.)</t>
  </si>
  <si>
    <t xml:space="preserve">• [withdrawn] Named as a client in an alleged sex trafficking ring at a Trump golf course, Rancho Palos Verdes, CA, alongside Trump and Epstein, with Maxwell named as madam — the FBI DEEMED THIS NOT CREDIBLE; the complainant had 3 police incidents requiring psychiatric evaluations  (EFTA01660651, NTOC Complainant 3, ~1995-1996)</t>
  </si>
  <si>
    <t xml:space="preserve">• 1995-1996: Period of the alleged Rancho Palos Verdes ring (EFTA01660651)</t>
  </si>
  <si>
    <t xml:space="preserve">THIS TIER SUBSTANTIALLY OVERSTATES THE EVIDENTIARY POSITION. The single source is a complaint the investigating agency itself rejected as not credible, on stated grounds (the complainant had three police incidents requiring psychiatric evaluations). There is no corroboration in any corpus file. Tier 3 is recorded only because the corpus preserves the complaint in a primary FBI document and the tier system keys on documentation, not on credibility. A Tier 4 assignment or outright exclusion is equally defensible. DO NOT TREAT THIS AS A SUBSTANTIATED ALLEGATION.</t>
  </si>
  <si>
    <t xml:space="preserve">EFTA01660651</t>
  </si>
  <si>
    <t xml:space="preserve">⚠ The FBI deemed the sole allegation NOT CREDIBLE.
⚠ NOT COVERED in status_verification.md — identity, alive/deceased and current status unverified.
⚠ No corroboration in any corpus file.</t>
  </si>
  <si>
    <t xml:space="preserve">P038</t>
  </si>
  <si>
    <t xml:space="preserve">Sergio Cordero</t>
  </si>
  <si>
    <t xml:space="preserve">Joint venture partner with Brunel in MC2 Model Management, the entity he himself described to the FBI as an underage-girl transport operation — documentary evidence raising serious questions. Never charged; no allegation that he participated in abuse.</t>
  </si>
  <si>
    <t xml:space="preserve">operations</t>
  </si>
  <si>
    <t xml:space="preserve">He provided the FBI with 11 points confirming MC2's trafficking purpose on 2010-06-10, including that 'the principal business of MC2... is to transport underage girls for purposes of sexual pleasure for Brunel and Epstein' — i.e. he had, and disclosed, complete knowledge of the operation.</t>
  </si>
  <si>
    <t xml:space="preserve">Unknown. The corpus records that the 'trail goes cold in documents' after June 2010.</t>
  </si>
  <si>
    <t xml:space="preserve">• [admitted] Joint venture partner with Brunel in MC2 Model Management, the entity he described to the FBI as an underage-girl transport operation  (EFTA01657299)
• [admitted] Provided the FBI with 11 points confirming MC2's trafficking purpose on 2010-06-10  (EFTA01657299)</t>
  </si>
  <si>
    <t xml:space="preserve">• 2010-06-10: FBI interview; the Washington SSA for the crimes-against-children squad states he would 'like to interview Sergio Cordero' and that 'he will be put into a grand jury to testify' (EFTA01657299)</t>
  </si>
  <si>
    <t xml:space="preserve">No allegation anywhere in the corpus that he participated in abuse. He functioned as an informant and witness. The corpus's open question: the FBI wanted him before a grand jury and no follow-up appears in the documents — 'Was the testimony ever taken?'</t>
  </si>
  <si>
    <t xml:space="preserve">EFTA01657299</t>
  </si>
  <si>
    <t xml:space="preserve">⚠ Whether his grand jury testimony was ever taken: UNVERIFIED.
⚠ NOT COVERED in status_verification.md.</t>
  </si>
  <si>
    <t xml:space="preserve">P039</t>
  </si>
  <si>
    <t xml:space="preserve">Steve Tisch</t>
  </si>
  <si>
    <t xml:space="preserve">April 2013 emails in which he asked Epstein about a 'very sweet girl' met at his house and whether she was 'pro or civilian?' — language the corpus reads as suggesting awareness that some women at Epstein's events were sex workers. Never charged.</t>
  </si>
  <si>
    <t xml:space="preserve">media-adjacent</t>
  </si>
  <si>
    <t xml:space="preserve">The 'pro or civilian?' exchange is the corpus's stated basis: it suggests awareness that some women at Epstein's events were sex workers. Epstein's reply: 'civilian, but russian, and rarely tells the full truth, but fun.'</t>
  </si>
  <si>
    <t xml:space="preserve">none as of 2026-07-31. The NFL said it would look into his Epstein connection; he faced public calls to step down (opinion columns, not league action). No verified league discipline or ownership change.</t>
  </si>
  <si>
    <t xml:space="preserve">Co-owner and chairman/EVP of the New York Giants, and film producer, as of July 2026.</t>
  </si>
  <si>
    <t xml:space="preserve">Says he never went to Epstein's island and regrets associating with him; characterized it as a 'brief association.' Sports reporting has directly challenged the 'brief' characterization as contradicted by the documents.</t>
  </si>
  <si>
    <t xml:space="preserve">• [alleged] April 2013: asked Epstein about a 'very sweet girl' met at his house and whether she was 'pro or civilian?'; Epstein replied 'civilian, but russian, and rarely tells the full truth, but fun'  (Dataset 9 emails (per Entity Database v2.0, entry #21); CNN Jan 31, 2026)
• [alleged] Emails between Tisch and Epstein were included in the January 30, 2026 DOJ release  (Jan 30, 2026 DOJ EFTA release; ESPN/CBS reporting)</t>
  </si>
  <si>
    <t xml:space="preserve">• 2013-04: 'pro or civilian?' email exchange with Epstein
• 2026-01-30: His emails with Epstein included in the DOJ release
• 2026-02: NFL says it will look into his Epstein connection; Commissioner Goodell faces repeated questions</t>
  </si>
  <si>
    <t xml:space="preserve">Record the tension between his 'brief association' characterization and the documentary record, which sports reporting has directly challenged.</t>
  </si>
  <si>
    <t xml:space="preserve">https://www.espn.com/nfl/story/_/id/47809616/nfl-look-giants-co-owner-tisch-epstein-files-connection
https://www.cbsnews.com/newyork/news/steve-tisch-ny-giants-jeffrey-epstein-files/
https://sports.yahoo.com/articles/facts-contradict-steve-tischs-claim-145239067.html</t>
  </si>
  <si>
    <t xml:space="preserve">⚠ Outcome of the NFL review announced February 2026: UNVERIFIED.</t>
  </si>
  <si>
    <t xml:space="preserve">P040</t>
  </si>
  <si>
    <t xml:space="preserve">William Barr</t>
  </si>
  <si>
    <t xml:space="preserve">EFTA01648955 lists 'William Barr, for being present when a girl was raped' on the FBI PROMINENT NAMES list — a specific allegation of conduct from a primary document, uncharged and, per the corpus, entirely unexamined.</t>
  </si>
  <si>
    <t xml:space="preserve">The corpus records only the list entry; no testimony, journal or corroborating document is quoted.</t>
  </si>
  <si>
    <t xml:space="preserve">none documented in the corpus relating to Epstein</t>
  </si>
  <si>
    <t xml:space="preserve">Not covered by status_verification.md. Former U.S. Attorney General. Current status as of July 2026 unverified.</t>
  </si>
  <si>
    <t xml:space="preserve">• [alleged] 'William Barr, for being present when a girl was raped' — entry on the FBI PROMINENT NAMES list  (EFTA01648955)
• [alleged] Also listed on the PROMINENT NAMES list at EFTA01648951  (EFTA01648951)
• [alleged] As Attorney General, dismissed U.S. Attorney Geoffrey Berman — the recipient of the December 2019 SDNY prosecution memo — in June 2020 in a public dispute  (Public record; the corpus records this inside a speculation block as to any causal connection)</t>
  </si>
  <si>
    <t xml:space="preserve">• undated: Alleged presence, per the FBI PROMINENT NAMES list (EFTA01648955)
• 2020-06: As Attorney General, dismisses Geoffrey Berman as U.S. Attorney for SDNY in a public dispute</t>
  </si>
  <si>
    <t xml:space="preserve">This is a single line on an FBI briefing list with no charge, no victim testimony quoted, no journal, and — per the corpus — no examination of any kind. The corpus expressly flags it as requiring separate investigation. Do NOT report it as a substantiated allegation. The corpus records his AG-era dismissal of Berman without asserting any causal link to the prosecution memo, and neither should this registry.</t>
  </si>
  <si>
    <t xml:space="preserve">⚠ NOT COVERED in status_verification.md — criminal status, current position and alive/deceased are unverified against the July 2026 open-source record.
⚠ The PROMINENT NAMES allegation is expressly marked unexamined in the corpus.</t>
  </si>
  <si>
    <t xml:space="preserve">P041</t>
  </si>
  <si>
    <t xml:space="preserve">[21 partially identified 'Mr.' names from the DS12 victim journals] — GROUPED RECORD</t>
  </si>
  <si>
    <t xml:space="preserve">Grouped record of surname-only journal entries. Several were explicitly declared FALSE names by the victim.</t>
  </si>
  <si>
    <t xml:space="preserve">never charged. None positively identified.</t>
  </si>
  <si>
    <t xml:space="preserve">none documented</t>
  </si>
  <si>
    <t xml:space="preserve">None positively identified as of July 2026. Carried as open question OQ-07: cross-reference against DS11 flight manifests and DS9 emails.</t>
  </si>
  <si>
    <t xml:space="preserve">not applicable — none positively identified</t>
  </si>
  <si>
    <t xml:space="preserve">• [alleged] Named as abusers in the DS12 victim journals by surname with 'Mr.' prefix only  (EFTA02731420, EFTA02731465 (per EFTA Entity Database v2.0, entries #29-48))</t>
  </si>
  <si>
    <t xml:space="preserve">• 2024-04: Journals authenticated by court-ordered forensic examination (gel pen, no evidence of recent fabrication) (EFTA02731724)
• 2026-04-25: Judge Jessica Clarke finds the plaintiff falsified sonogram images in the journals and bars the falsified entries from trial</t>
  </si>
  <si>
    <t xml:space="preserve">⛔ NOT A REAL PERSON. The victim explicitly recorded these names as FALSE at EFTA02731420 p.6: "Mr. Mody. Mr. Robert. Mr. Sant. Mr. Ludwig. Mr. Cecchi. Mr. Mora. Mr. Goodlatte. Mr. Atkins are not who they say! Run run run!" These are aliases used by unidentified abusers, NOT identifications of living individuals bearing those surnames. The project database previously proposed candidate real-person matches for several — including a named living private individual with employer and address, and former Rep. Bob Goodlatte. Those identifications were unsafe and have been deleted from the database (2026-07-31). Do not match these names to real people.</t>
  </si>
  <si>
    <t xml:space="preserve">EFTA02731420, EFTA02731465, EFTA02731724</t>
  </si>
  <si>
    <t xml:space="preserve">https://reason.com/volokh/2026/04/25/judge-finds-epstein-related-plaintiff-lies-spoliation-and-lawyer-misconduct-in-rape-lawsuit-against-investor-leon-black/
https://news.bloomberglaw.com/litigation/wigdor-lawyer-in-leon-black-case-sanctioned-for-repeated-lies</t>
  </si>
  <si>
    <t xml:space="preserve">⚠ NONE of these 21 names is positively identified.
⚠ Proposed identities (Rockefeller, Goodlatte, Krauss) are explicitly NOT ESTABLISHED.
⚠ Journal evidentiary weight is contested following the April 2026 Clarke sanctions ruling; the project's Tier 1 expansion to journal-named individuals needs auditing against that ruling.</t>
  </si>
  <si>
    <t xml:space="preserve">P042</t>
  </si>
  <si>
    <t xml:space="preserve">[Redacted female recruiter] — UNIDENTIFIED</t>
  </si>
  <si>
    <t xml:space="preserve">Documented in victim allegations and the DANY referral as having introduced the minor Leon Black victim to Ghislaine Maxwell at 17 and trafficked her from 2001 to 2004. Never identified, never charged.</t>
  </si>
  <si>
    <t xml:space="preserve">recruiter, trafficker</t>
  </si>
  <si>
    <t xml:space="preserve">never charged. Unidentified suspect.</t>
  </si>
  <si>
    <t xml:space="preserve">Never identified. Carried on the corpus's suspect list at Priority P2.</t>
  </si>
  <si>
    <t xml:space="preserve">not applicable — identity redacted</t>
  </si>
  <si>
    <t xml:space="preserve">• [alleged] Introduced the minor Black victim to Ghislaine Maxwell when the victim was 17  (EFTA02731488; DANY memo (Leon Black analysis §7, §9))
• [alleged] Drove her from Virginia to NYC; 'dragged her up stairs by her hair'; controlled her diet and appearance  (Leon Black analysis §9 OQ-1)
• [alleged] 'From 2001 to end of 2004, trafficked by [recruiter], sex with at least 25 different men'  (EFTA02731488)</t>
  </si>
  <si>
    <t xml:space="preserve">• 2001-2004: Period during which she is alleged to have trafficked the minor victim (EFTA02731488)</t>
  </si>
  <si>
    <t xml:space="preserve">NAME FULLY REDACTED — no name of any kind exists in the corpus. The corpus raises candidate identities ONLY as an open question — 'Is this a known co-conspirator (Kellen? Marcinkova?) or a previously unidentified recruiter?' — and these are QUESTIONS, NOT proposed identifications, and must not be reported as either. Further redacted details: she 'had significant other named [redacted]' and was 'from [redacted, Northern VA area].' Journal-based evidence is contested: on 2026-04-25 Judge Jessica Clarke (S.D.N.Y., Doe v. Black) found the plaintiff falsified sonogram images in the DS12 victim journals, sanctioned Wigdor LLP and Jeanne Christensen, and barred the falsified entries from trial, while DENYING case-terminating sanctions and allowing the rape claim to proceed.</t>
  </si>
  <si>
    <t xml:space="preserve">EFTA02731488</t>
  </si>
  <si>
    <t xml:space="preserve">⚠ Identity fully redacted; never identified.
⚠ Candidate identities in the corpus are open questions, not proposed identifications.</t>
  </si>
  <si>
    <t xml:space="preserve">P043</t>
  </si>
  <si>
    <t xml:space="preserve">[Redacted — Subject A] (EFTA02731082, Section IV.A)</t>
  </si>
  <si>
    <t xml:space="preserve">One of three redacted subjects for whom the December 2019 SDNY prosecution memo prepared a dedicated charging analysis headed 'Evidence That [redacted] Conspired to Sex Traffic Minors' — with the analysis itself redacted. Never charged.</t>
  </si>
  <si>
    <t xml:space="preserve">scheduler, admin, operations</t>
  </si>
  <si>
    <t xml:space="preserve">Section IV.A of the memo contains subsections on 'Knowledge of Sex Acts' and 'Knowledge of Age' — the content is redacted.</t>
  </si>
  <si>
    <t xml:space="preserve">never charged. 'No charges ever brought against the redacted subjects.'</t>
  </si>
  <si>
    <t xml:space="preserve">Identity redacted; status unknown.</t>
  </si>
  <si>
    <t xml:space="preserve">• [alleged] Palm Beach-based assistant/scheduler  (EFTA02731082, pp.38-54)
• [alleged] 'Also sexually abused by Epstein'  (EFTA02731082, §9)
• [alleged] Directed by Epstein to collect contact books and computers from Palm Beach and to shred Virgin Islands directories at Maxwell's NYC house during the Florida investigation  (EFTA02731082, pp.40-41)
• [alleged] Told by Darren Indyke 'if she ever needed help she should not talk to the police'  (EFTA02731082, p.41)
• [alleged] Section IV.A is headed 'Evidence That [redacted] Conspired to Sex Traffic Minors' with subsections on 'Knowledge of Sex Acts' and 'Knowledge of Age' — content redacted  (EFTA02731082, pp.75-82)</t>
  </si>
  <si>
    <t xml:space="preserve">• 2005: Directed to collect and destroy materials during the Florida investigation (EFTA02731082 pp.40-41)
• 2019-12-19: Charging analysis prepared, pp.75-82 — redacted</t>
  </si>
  <si>
    <t xml:space="preserve">NAME REDACTED — identity not established. The corpus notes that 'context strongly suggests the three redacted subjects are the three assistants profiled in Section II.D' but expressly leaves this open; it is a contextual inference, NOT an identification, and must not be reported as one. She is described as herself sexually abused by Epstein, so employee and victim roles are not mutually exclusive here. Category D redaction concern: the memo identifies subjects by role but redacts names, while the corresponding victim accounts name many of the same people.</t>
  </si>
  <si>
    <t xml:space="preserve">EFTA02731082</t>
  </si>
  <si>
    <t xml:space="preserve">⚠ Identity fully redacted.
⚠ Charging analysis (pp.75-82) redacted — the government's reasoning for not charging is concealed.</t>
  </si>
  <si>
    <t xml:space="preserve">P044</t>
  </si>
  <si>
    <t xml:space="preserve">[Redacted — Subject B] (EFTA02731082, Section IV.B)</t>
  </si>
  <si>
    <t xml:space="preserve">One of three redacted subjects with a dedicated (fully redacted) charging analysis in the December 2019 SDNY prosecution memo; described as having participated in sex acts with minor victims at Epstein's direction. Never charged.</t>
  </si>
  <si>
    <t xml:space="preserve">Section IV.B (p.83) is fully redacted.</t>
  </si>
  <si>
    <t xml:space="preserve">• [alleged] Described in the memo as 'Girlfriend/sex slave'  (EFTA02731082, pp.42-48)
• [alleged] 'Participated in sex acts with minor victims at Epstein's direction'  (EFTA02731082, §9)
• [alleged] Controlled by visa leverage — her visa was controlled by Brunel's modeling agency; Epstein told her he 'paid Brunel $1 million to keep her in the country'  (EFTA02731082, p.47)
• [alleged] Received a $100,000 payment — Epstein wired money after negative articles appeared  (EFTA02731082, §4)</t>
  </si>
  <si>
    <t xml:space="preserve">• 2018-12: $100,000 wire after the Miami Herald series (EFTA02731082 §4)
• 2019-12-19: Charging analysis prepared, p.83 — fully redacted</t>
  </si>
  <si>
    <t xml:space="preserve">NAME REDACTED — identity not established. THIS RECORD SITS ON THE COERCION BOUNDARY. The corpus describes her simultaneously as a participant in sex acts with minors AND as a person held by visa leverage and characterized as a 'sex slave.' The corpus never resolves this; the analysis that would have resolved it is in the redacted section. If the coercion finding is ever established, this classification should be revisited toward victim status, not reversed.</t>
  </si>
  <si>
    <t xml:space="preserve">⚠ Identity fully redacted.
⚠ Charging analysis (p.83) fully redacted.
⚠ Whether the visa coercion was analyzed as part of the trafficking scheme: UNRESOLVED.</t>
  </si>
  <si>
    <t xml:space="preserve">P045</t>
  </si>
  <si>
    <t xml:space="preserve">[Redacted — Subject C] (EFTA02731082, Section IV.C)</t>
  </si>
  <si>
    <t xml:space="preserve">One of three redacted subjects with a dedicated (fully redacted) charging analysis in the December 2019 SDNY prosecution memo; recipient of the $250,000 payment made days after the Miami Herald series. Never charged.</t>
  </si>
  <si>
    <t xml:space="preserve">Section IV.C (p.84) is fully redacted.</t>
  </si>
  <si>
    <t xml:space="preserve">She claims the $250,000 payment was unrelated to the Miami Herald articles (EFTA02731082, OQ-5).</t>
  </si>
  <si>
    <t xml:space="preserve">• [alleged] Assistant/scheduler  (EFTA02731082, pp.48-54)
• [alleged] 'Also sexually abused by Epstein'  (EFTA02731082, §9)
• [alleged] Received a $250,000 payment from Epstein in December 2018, days after the Miami Herald series, directed by Epstein and executed through accountant Richard Kahn; Epstein instructed her not to tell anyone about the payments  (EFTA02731082, pp.51-52)
• [denied] She claims the payment was unrelated to the articles  (EFTA02731082, OQ-5)</t>
  </si>
  <si>
    <t xml:space="preserve">• 2018-12: Receives the $250,000 payment days after the Miami Herald series (EFTA02731082 pp.51-52)
• 2019-12-19: Charging analysis prepared, p.84 — fully redacted</t>
  </si>
  <si>
    <t xml:space="preserve">NAME REDACTED — identity not established. She is described as herself sexually abused by Epstein, so employee and victim roles are not mutually exclusive. The significance of the $250K payment timing remains an open question; SDNY appears to have probed it but the assessment sits in the redacted section. The payment is one of three pillars of the corpus's witness-control thesis, alongside Indyke's silence instruction and the trust's employment cliff.</t>
  </si>
  <si>
    <t xml:space="preserve">⚠ Identity fully redacted.
⚠ Charging analysis (p.84) fully redacted.
⚠ Significance of the $250K payment timing: UNRESOLVED.</t>
  </si>
  <si>
    <t xml:space="preserve">P046</t>
  </si>
  <si>
    <t xml:space="preserve">[Unnamed 'federal worker' from the DS12 victim journals] — UNIDENTIFIED</t>
  </si>
  <si>
    <t xml:space="preserve">Referenced in the DS12 victim journals as a federal government employee who 'borrowed' and 'rented' victims. Title/role known, identity not disclosed. Never identified, never charged. Carried as project open question OQ-05 at highest priority.</t>
  </si>
  <si>
    <t xml:space="preserve">never charged. Never identified.</t>
  </si>
  <si>
    <t xml:space="preserve">Unidentified as of July 2026. Project open question OQ-05, HIGH PRIORITY for identification; next step is cross-referencing flight logs and property visitor records in DS11.</t>
  </si>
  <si>
    <t xml:space="preserve">not applicable — unidentified</t>
  </si>
  <si>
    <t xml:space="preserve">• [alleged] Referenced in the victim journals as a federal government worker who 'borrowed' and 'rented' victims; a current government employee who allegedly participated in trafficking  (EFTA02731420, EFTA02731465 (per EFTA Entity Database v2.0, entry #49))</t>
  </si>
  <si>
    <t xml:space="preserve">• 2024-04: Journals authenticated by court-ordered forensic examination (EFTA02731724)</t>
  </si>
  <si>
    <t xml:space="preserve">Journal-based evidence is contested: on 2026-04-25 Judge Jessica Clarke (S.D.N.Y., Doe v. Black) found the plaintiff falsified sonogram images in the DS12 victim journals, sanctioned Wigdor LLP and Jeanne Christensen, and barred the falsified entries from trial, while DENYING case-terminating sanctions and allowing the rape claim to proceed. Identity is not disclosed anywhere in the corpus; only the title/role is known.</t>
  </si>
  <si>
    <t xml:space="preserve">⚠ Identity never established.
⚠ Journal evidentiary weight contested following the April 2026 Clarke sanctions ruling.</t>
  </si>
  <si>
    <t xml:space="preserve">P047</t>
  </si>
  <si>
    <t xml:space="preserve">Alex Von Bidder</t>
  </si>
  <si>
    <t xml:space="preserve">T4 — Documented Contact Only</t>
  </si>
  <si>
    <t xml:space="preserve">CC'd on a social email with Staley and Epstein. Documented contact only.</t>
  </si>
  <si>
    <t xml:space="preserve">No corpus evidence establishes awareness of criminal conduct.</t>
  </si>
  <si>
    <t xml:space="preserve">never charged (no charge recorded in the corpus; not covered in status_verification.md)</t>
  </si>
  <si>
    <t xml:space="preserve">Not covered by status_verification.md.</t>
  </si>
  <si>
    <t xml:space="preserve">• [alleged] CC'd on a social email with Staley and Epstein  (EFTA01951455)</t>
  </si>
  <si>
    <t xml:space="preserve">• 2013-10-30: CC'd on the Staley social email (EFTA01951455)</t>
  </si>
  <si>
    <t xml:space="preserve">NO CONDUCT IS ALLEGED. EFTA01951455 is flagged in the corpus's redaction analysis as a document whose CC names were partially reconstructed from redacted fields. Presence in this dataset does not establish criminal conduct. Tier 4 records documented contact only.</t>
  </si>
  <si>
    <t xml:space="preserve">EFTA01951455</t>
  </si>
  <si>
    <t xml:space="preserve">⚠ NOT COVERED in status_verification.md — criminal status, current position and alive/deceased are unverified against the July 2026 open-source record.
⚠ CC names in EFTA01951455 were partially reconstructed from redacted fields.</t>
  </si>
  <si>
    <t xml:space="preserve">P048</t>
  </si>
  <si>
    <t xml:space="preserve">Alexa Staley</t>
  </si>
  <si>
    <t xml:space="preserve">Daughter of Jes Staley; maintained direct email contact with Epstein through at least November 2018. No conduct alleged. Material because the contact contradicts a public statement made on her father's behalf.</t>
  </si>
  <si>
    <t xml:space="preserve">• [alleged] Maintained direct email contact with Epstein through at least November 2018: 'Saying hello...'  (EFTA02614253)
• [alleged] Received forwarded Epstein emails from her father  (EFTA02033066)</t>
  </si>
  <si>
    <t xml:space="preserve">• 2018-11-28: Emails Epstein 'Saying hello...' (EFTA02614253)</t>
  </si>
  <si>
    <t xml:space="preserve">NO CONDUCT IS ALLEGED AGAINST HER. This record exists solely because her November 2018 email contradicts a claim from 'a person close to Mr. Staley' that he 'hasn't had contact with Mr. Epstein in several years' (EFTA01365973, Wall Street Journal). The corpus's open question is whether Staley made false statements to regulators — not any question about her. Presence in this dataset does not establish criminal conduct. Tier 4 records documented contact only.</t>
  </si>
  <si>
    <t xml:space="preserve">EFTA02614253, EFTA02033066, EFTA01365973</t>
  </si>
  <si>
    <t xml:space="preserve">⚠ NOT COVERED in status_verification.md — criminal status, current position and alive/deceased are unverified against the July 2026 open-source record.</t>
  </si>
  <si>
    <t xml:space="preserve">P049</t>
  </si>
  <si>
    <t xml:space="preserve">Barry Jay Josephson</t>
  </si>
  <si>
    <t xml:space="preserve">Received $200,000 from Epstein accounts on October 17, 2013, recorded as a 'Promissory Note.' Documented payment only.</t>
  </si>
  <si>
    <t xml:space="preserve">Not covered by status_verification.md. Film producer.</t>
  </si>
  <si>
    <t xml:space="preserve">• [alleged] Received $200,000 on 2013-10-17, recorded as a 'Promissory Note'  (EFTA01681865 Exhibit P)</t>
  </si>
  <si>
    <t xml:space="preserve">• 2013-10-17: Receives $200,000 (EFTA01681865)</t>
  </si>
  <si>
    <t xml:space="preserve">NO CONDUCT IS ALLEGED. Documented payment only. Presence in this dataset does not establish criminal conduct. Tier 4 records documented contact only.</t>
  </si>
  <si>
    <t xml:space="preserve">P050</t>
  </si>
  <si>
    <t xml:space="preserve">Bill Gates</t>
  </si>
  <si>
    <t xml:space="preserve">Extensively documented post-conviction social and professional contact with Epstein (2011-2014) including dinners, stays at Epstein's Paris apartment, and Donor Advised Fund collaboration — but the corpus finds 'no evidence of awareness of or participation in criminal activity.'</t>
  </si>
  <si>
    <t xml:space="preserve">He knew of the 2008 conviction — the Kosslyn-drafted PR script prepared for his use reads 'We realize that Jeffrey has made mistakes in the past. But he's paid his debt to society by being incarcerated' — but there is no corpus evidence of awareness of ongoing criminal conduct. The entire documented relationship is post-conviction.</t>
  </si>
  <si>
    <t xml:space="preserve">No forced departure. Reputational and financial consequence: Berkshire Hathaway halted its donations to the Gates Foundation after Warren Buffett publicly called the Epstein connection 'distasteful' (July 2026).</t>
  </si>
  <si>
    <t xml:space="preserve">Co-chair of the Gates Foundation and Microsoft co-founder as of July 2026. Interviewed by House Oversight. A July 21, 2026 external investigation found no evidence the foundation was involved in or connected to Epstein's crimes.</t>
  </si>
  <si>
    <t xml:space="preserve">Told the House Oversight Committee that meeting Epstein was a 'grave error in judgment.' At a February 25, 2026 foundation town hall he apologized and admitted to two extramarital affairs.</t>
  </si>
  <si>
    <t xml:space="preserve">• [alleged] Participated in a scripted public rehabilitation strategy for a convicted sex offender; the Kosslyn-drafted Gates script reads 'everyone deserves a second chance'  (EFTA02030179)
• [alleged] Michael Wolff email: 'It is Bill Gates who at the end of the summer began prodding Epstein to begin a process of public rehabilitation'  (EFTA01747368)
• [alleged] Granted Epstein formal institutional access — Epstein registered as a visitor to the Bill &amp; Melinda Gates Foundation on 2011-07-15  (EFTA02032102)
• [alleged] Delegated a personnel matter to Epstein: 'Larry Cohen is authorized to talk to you about the employment issues with Boris'  (EFTA01965179; EFTA01966401)
• [alleged] Stayed at Epstein's Paris apartment at least twice and visited the Palm Beach house  (EFTA01898746; EFTA01969029; EFTA01901796)
• [alleged] Declined Boris Nikolic's Crazy Horse Paris cabaret invitation: 'I will be too tired to do this and wouldn't want to take the risk'  (EFTA01966279)
• [alleged] Offered to donate money in Epstein's name  (EFTA01959043)</t>
  </si>
  <si>
    <t xml:space="preserve">• 2011-01-31: Dinner at Epstein's NYC townhouse (EFTA01797988)
• 2011-05-02: 'Power Dinner!!' with Larry Summers and Jes Staley (EFTA02189210)
• 2011-07-15: Epstein registered as a visitor at Gates Foundation HQ, Seattle (EFTA02032102)
• 2011-07-18: Kosslyn PR rehabilitation scripts drafted (EFTA02030179)
• 2013-03-16: Staying at Epstein's Paris apartment (EFTA01898746)
• 2013-07: Authorizes Epstein to negotiate Boris Nikolic's severance through Larry Cohen (EFTA01965179)
• 2014-09-08: Four-hour appointment with Epstein, 10am-2pm — last documented contact (EFTA02098640)
• 2026-02-25: Apologizes at a foundation town hall and admits to two extramarital affairs
• 2026-07-21: An external investigation commissioned into the Gates Foundation finds NO EVIDENCE the foundation was involved in or connected to Epstein's crimes
• 2026-07: Berkshire Hathaway halts donations to the Gates Foundation after Warren Buffett publicly called the Epstein connection 'distasteful'</t>
  </si>
  <si>
    <t xml:space="preserve">The corpus's own tier reasoning, verbatim: 'no evidence of awareness of or participation in criminal activity. The Nikolic draft resignation allegations are unverified and not corroborated elsewhere in the corpus. A tier upgrade to T3 would require corroboration of the Nikolic allegations or evidence that Gates knew about Epstein's ongoing criminal conduct.' The July 2026 external investigation exculpates the FOUNDATION; it does not address Gates personally beyond the foundation's operations. Presence in this dataset does not establish criminal conduct. Tier 4 records documented contact only.</t>
  </si>
  <si>
    <t xml:space="preserve">EFTA02030179, EFTA01747368, EFTA02032102, EFTA01965179, EFTA01966401, EFTA01898746, EFTA01969029, EFTA01901796, EFTA01966279, EFTA01959043, EFTA01797988, EFTA02189210, EFTA02098640, EFTA01965732</t>
  </si>
  <si>
    <t xml:space="preserve">https://www.forbes.com/sites/alisondurkee/2026/07/21/no-evidence-gates-foundation-was-involved-in-epsteins-crimes-investigation-finds/
https://abcnews.com/US/bill-gates-face-questions-house-oversight-panel-relationship/story?id=133685951
https://www.cnbc.com/2026/02/25/bill-gates-epstein-files-affair.html
https://www.axios.com/2026/07/21/epstein-files-probe-doj-blanche-tillis-gates</t>
  </si>
  <si>
    <t xml:space="preserve">⚠ Allegations about Gates contained in a draft resignation letter drafted in Boris Nikolic's name (EFTA01965732) are flagged UNVERIFIED by the corpus and it is unclear whether the letter was ever sent.</t>
  </si>
  <si>
    <t xml:space="preserve">P051</t>
  </si>
  <si>
    <t xml:space="preserve">Bob Diamond</t>
  </si>
  <si>
    <t xml:space="preserve">Appears only as the subject of a Barclays news article Staley forwarded to Epstein. No contact with Epstein documented.</t>
  </si>
  <si>
    <t xml:space="preserve">banker</t>
  </si>
  <si>
    <t xml:space="preserve">oblivious</t>
  </si>
  <si>
    <t xml:space="preserve">He appears only as the subject of a third party's forwarded news article; no contact is documented.</t>
  </si>
  <si>
    <t xml:space="preserve">• [alleged] Subject of a Barclays article Staley forwarded to Epstein  (EFTA01301206)</t>
  </si>
  <si>
    <t xml:space="preserve">• 2012-07-16: Staley forwards the Barclays/Bob Diamond article to Epstein (EFTA01301206)</t>
  </si>
  <si>
    <t xml:space="preserve">NO CONDUCT IS ALLEGED AND NO CONTACT WITH EPSTEIN IS DOCUMENTED. He appears solely as the subject of a forwarded news article. This is the weakest possible basis for inclusion and is recorded only for completeness. Presence in this dataset does not establish criminal conduct. Tier 4 records documented contact only.</t>
  </si>
  <si>
    <t xml:space="preserve">EFTA01301206</t>
  </si>
  <si>
    <t xml:space="preserve">P052</t>
  </si>
  <si>
    <t xml:space="preserve">Boris Nikolic</t>
  </si>
  <si>
    <t xml:space="preserve">Extensive personal relationship with Epstein (2011-2014) as Bill Gates's science adviser, named successor executor of Epstein's will two days before his death (a role he declined), and reported by Bloomberg to have exchanged emails with Epstein discussing 'nudes' and 'hot girls' — documentary, not criminal. The corpus assigns Tier 4.</t>
  </si>
  <si>
    <t xml:space="preserve">executor</t>
  </si>
  <si>
    <t xml:space="preserve">The corpus's open question — 'Did Boris Nikolic have knowledge of Epstein's crimes? Named as successor executor in a will signed two days before death... The naming implies deep trust and coordination' — is unresolved.</t>
  </si>
  <si>
    <t xml:space="preserve">none known. He was named a backup executor of Epstein's will in 2019 and declined to serve.</t>
  </si>
  <si>
    <t xml:space="preserve">UNVERIFIED — no verified resignation or removal located.</t>
  </si>
  <si>
    <t xml:space="preserve">Venture investor (Biomatics Capital); former science adviser to Bill Gates. Current standing UNVERIFIED as of July 2026.</t>
  </si>
  <si>
    <t xml:space="preserve">UNVERIFIED — no 2026 public statement located.</t>
  </si>
  <si>
    <t xml:space="preserve">• [admitted] Named successor executor of Epstein's estate after Indyke and Kahn, in a will executed two days before Epstein's death; he publicly declined the role  (EFTA00027979; EFTA01266204)
• [alleged] Extensive personal relationship with Epstein 2011-2014: social planning, deal-making, mutual introductions including Kimbal Musk, travel to Davos, Miami and London  (EFTA01928357; EFTA01754827; EFTA02032070; EFTA02032644)
• [alleged] His severance from bgC3/the Gates Foundation was negotiated by Epstein with Gates's written authorization  (EFTA01965179; EFTA01964544; EFTA01966401)
• [alleged] Invited Gates to the Crazy Horse Paris erotic cabaret in June 2013; Gates declined  (EFTA01966279)
• [alleged] Served as a conduit between Gates and Epstein and exchanged emails with Epstein discussing 'nudes' and 'hot girls', including banter about strippers  (Bloomberg, 2026-03-27)</t>
  </si>
  <si>
    <t xml:space="preserve">• 2011-01-31: Attends consecutive dinners at Epstein's NYC townhouse (EFTA01797988)
• 2013-06: Invites Gates to the Crazy Horse in Paris (EFTA01966279)
• 2013-07: Severance crisis; Gates authorizes Epstein to negotiate through Larry Cohen (EFTA01965179)
• 2019-08-08: Named successor executor in Epstein's will, two days before his death (EFTA00027979)
• 2019-08: Publicly declines the executor role
• 2026-03-27: Bloomberg reports he served as a conduit between Gates and Epstein and exchanged emails discussing 'nudes' and 'hot girls'</t>
  </si>
  <si>
    <t xml:space="preserve">A draft resignation letter in his name, forwarded to Epstein, contained allegations about Gates ('From helping Bill to get drugs, in order to deal with consequences of sex with russian girls, to facilitating his illicit trysts...'); the corpus flags these as UNVERIFIED and notes it is unclear whether the letter was ever sent. The March 2026 Bloomberg findings are documentary, not criminal. Retained at Tier 4 because that is the corpus's own assignment; the 'nudes/hot girls' correspondence is arguably a Tier 3 fact pattern ('communications suggesting awareness') and a reviewer should reconsider. Presence in this dataset does not establish criminal conduct. Tier 4 records documented contact only.</t>
  </si>
  <si>
    <t xml:space="preserve">EFTA00027979, EFTA01266204, EFTA01928357, EFTA01754827, EFTA02032070, EFTA02032644, EFTA01965179, EFTA01964544, EFTA01966401, EFTA01966279, EFTA01965732, EFTA01832859, EFTA01939674, EFTA01797988</t>
  </si>
  <si>
    <t xml:space="preserve">https://www.bloomberg.com/news/articles/2026-03-27/gates-adviser-served-as-conduit-to-epstein-discussed-nudes-hot-girls
https://www.aol.com/news/bill-gates-pal-boris-nikolic-173105521.html</t>
  </si>
  <si>
    <t xml:space="preserve">⚠ No 2026 public statement located.
⚠ Professional fallout: UNVERIFIED.
⚠ Current standing: UNVERIFIED.
⚠ Draft resignation letter allegations about Gates: UNVERIFIED, and it is unclear whether it was sent.</t>
  </si>
  <si>
    <t xml:space="preserve">P053</t>
  </si>
  <si>
    <t xml:space="preserve">Brian Vickers</t>
  </si>
  <si>
    <t xml:space="preserve">NASCAR driver; married Sarah Kellen in 2013. No allegation of any kind against him in the corpus.</t>
  </si>
  <si>
    <t xml:space="preserve">• [alleged] Married Sarah Kellen in 2013, after which she operates as 'Sarah Kellen Vickers'  (NPA co-conspirator analysis)</t>
  </si>
  <si>
    <t xml:space="preserve">• 2013: Marriage to Sarah Kellen</t>
  </si>
  <si>
    <t xml:space="preserve">NO ALLEGATION OF ANY KIND IS MADE AGAINST HIM in the corpus. He is recorded only because he is a named natural person in the files, connected solely by marriage. Presence in this dataset does not establish criminal conduct. Tier 4 records documented contact only.</t>
  </si>
  <si>
    <t xml:space="preserve">P054</t>
  </si>
  <si>
    <t xml:space="preserve">Bruce Moskowitz</t>
  </si>
  <si>
    <t xml:space="preserve">'Bruce Moskowitz / Marsha Moskowitz Foundation' received $150,000 from Epstein accounts between January 2016 and December 2017. Documented payment only.</t>
  </si>
  <si>
    <t xml:space="preserve">• [alleged] 'Bruce Moskowitz / Marsha Moskowitz Foundation' received $150,000 between January 2016 and December 2017; Mar-a-Lago member, VA officials called him 'a POTUS friend/doctor'  (EFTA01681865 Exhibit P)</t>
  </si>
  <si>
    <t xml:space="preserve">• 2016-01: Payments begin (EFTA01681865)
• 2017-12: Payments conclude; total $150,000 (EFTA01681865)</t>
  </si>
  <si>
    <t xml:space="preserve">The payee is recorded as 'Bruce Moskowitz / Marsha Moskowitz Foundation'; the corpus does not distinguish payments to the individual from payments to the foundation. Presence in this dataset does not establish criminal conduct. Tier 4 records documented contact only.</t>
  </si>
  <si>
    <t xml:space="preserve">P055</t>
  </si>
  <si>
    <t xml:space="preserve">Carl Icahn</t>
  </si>
  <si>
    <t xml:space="preserve">Referenced in a May 2013 Epstein email mocking Gates's fundraising. Documented mention only.</t>
  </si>
  <si>
    <t xml:space="preserve">financier</t>
  </si>
  <si>
    <t xml:space="preserve">• [alleged] Referenced in Epstein's May 2013 email to Nikolic: 'Carl icahn has made a joke of bill asking him for money'  (EFTA01975405)</t>
  </si>
  <si>
    <t xml:space="preserve">• 2013-05-14: Referenced in the email (EFTA01975405)</t>
  </si>
  <si>
    <t xml:space="preserve">NO CONDUCT IS ALLEGED. He is referenced by Epstein in a third-party email; no contact between him and Epstein is documented. Presence in this dataset does not establish criminal conduct. Tier 4 records documented contact only.</t>
  </si>
  <si>
    <t xml:space="preserve">EFTA01975405</t>
  </si>
  <si>
    <t xml:space="preserve">P056</t>
  </si>
  <si>
    <t xml:space="preserve">Celina Edith Dubin</t>
  </si>
  <si>
    <t xml:space="preserve">Primary residuary beneficiary of the Epstein 2014 Trust and beneficiary of four major properties. No allegation of conduct of any kind.</t>
  </si>
  <si>
    <t xml:space="preserve">Not covered by status_verification.md. No charges, no allegations.</t>
  </si>
  <si>
    <t xml:space="preserve">• [alleged] Residuary estate: 'One Hundred percent (100%) thereof to CELINA EDITH DUBIN, if she survives me, in separate trust'  (EFTA01266403, §2.4.A)
• [alleged] Primary beneficiary of four major Epstein properties, each in a separate trust with a dedicated operating endowment  (EFTA01266403, §§2.3.A.28-29)
• [alleged] NO ALLEGATION OF CONDUCT. 'Celina appears in these documents solely as a beneficiary. There is no evidence of contact with Epstein or participation in any activity.'  (Corpus THREAD_02 §4)</t>
  </si>
  <si>
    <t xml:space="preserve">• 2014-11-18: Primary beneficiary in the original trust, name REDACTED (EFTA01266380)
• 2015-05-01: Name REVEALED in the Amendment and Restatement (EFTA01266403)</t>
  </si>
  <si>
    <t xml:space="preserve">NO CONDUCT IS ALLEGED AGAINST HER. Her record is included only because she is the single clearest inconsistent-disclosure finding in the corpus: the original trust redacts the primary beneficiary's name at every appearance, while the Amendment and Restatement — produced with sequential Bates numbers from the same custodial file — reveals it. The corpus explicitly states it cannot explain WHY she was the beneficiary; its four hypotheses are marked as speculation. Presence in this dataset does not establish criminal conduct. Tier 4 records documented contact only.</t>
  </si>
  <si>
    <t xml:space="preserve">EFTA01266380, EFTA01266403</t>
  </si>
  <si>
    <t xml:space="preserve">⚠ NOT COVERED in status_verification.md — criminal status, current position and alive/deceased are unverified against the July 2026 open-source record.
⚠ The corpus cannot explain why she was the beneficiary; all candidate explanations are marked SPECULATION.</t>
  </si>
  <si>
    <t xml:space="preserve">P057</t>
  </si>
  <si>
    <t xml:space="preserve">Christopher Poole</t>
  </si>
  <si>
    <t xml:space="preserve">4chan founder; notes from a meeting with Epstein were found in the EFTA files. Context and purpose of the meeting not detailed.</t>
  </si>
  <si>
    <t xml:space="preserve">• [alleged] Notes from a meeting with Epstein found in EFTA files; context and purpose not detailed  (EFTA files, dataset TBD (per Entity Database v2.0, entry #57))</t>
  </si>
  <si>
    <t xml:space="preserve">NO CONDUCT IS ALLEGED. The corpus records only that meeting notes exist; no EFTA number is given. Presence in this dataset does not establish criminal conduct. Tier 4 records documented contact only.</t>
  </si>
  <si>
    <t xml:space="preserve">⚠ NOT COVERED in status_verification.md — criminal status, current position and alive/deceased are unverified against the July 2026 open-source record.
⚠ No EFTA document number recorded for this entry.</t>
  </si>
  <si>
    <t xml:space="preserve">P058</t>
  </si>
  <si>
    <t xml:space="preserve">Dean Kamen</t>
  </si>
  <si>
    <t xml:space="preserve">Documents place him on Epstein's private island in 2013 — five years after the conviction — with photographs showing him with Epstein and Maxwell. Documented contact; never charged.</t>
  </si>
  <si>
    <t xml:space="preserve">No corpus evidence establishes awareness of criminal conduct; the island visit was post-conviction.</t>
  </si>
  <si>
    <t xml:space="preserve">Resigned from the Beta Technologies board (February 2026) and from the FIRST Board of Directors (March 2026). FIRST is the youth robotics organization he founded — a significant loss.</t>
  </si>
  <si>
    <t xml:space="preserve">Inventor (Segway, iBOT) and DEKA Research as of July 2026. No longer on the FIRST or Beta boards.</t>
  </si>
  <si>
    <t xml:space="preserve">UNVERIFIED — no direct quote located.</t>
  </si>
  <si>
    <t xml:space="preserve">• [alleged] Photographs showed him with Epstein and Maxwell; documents place him on the private island in 2013 — five years after Epstein's conviction  (2026 EFTA release, reported by Deseret News / List of people named in the Epstein files)</t>
  </si>
  <si>
    <t xml:space="preserve">• 2013: Documented on Epstein's private island
• 2026-02: Resigns from the Beta Technologies board; placed on immediate leave from FIRST Robotics (Feb 1, 2026)
• 2026-03: Resigns from the FIRST Board of Directors — the youth robotics organization he founded</t>
  </si>
  <si>
    <t xml:space="preserve">Presence in this dataset does not establish criminal conduct. Tier 4 records documented contact only.</t>
  </si>
  <si>
    <t xml:space="preserve">https://en.wikipedia.org/wiki/List_of_people_named_in_the_Epstein_files
https://www.deseret.com/politics/2026/02/28/timeline-of-epstein-resignations/</t>
  </si>
  <si>
    <t xml:space="preserve">⚠ No direct public statement located.</t>
  </si>
  <si>
    <t xml:space="preserve">P059</t>
  </si>
  <si>
    <t xml:space="preserve">Deepak Chopra</t>
  </si>
  <si>
    <t xml:space="preserve">Met Epstein at least a dozen times between 2016 and 2019 — years after Epstein's conviction — and exchanged numerous messages about finances. Documented professional contact; never charged.</t>
  </si>
  <si>
    <t xml:space="preserve">academic</t>
  </si>
  <si>
    <t xml:space="preserve">No corpus evidence establishes awareness of criminal conduct; the contact was post-conviction.</t>
  </si>
  <si>
    <t xml:space="preserve">UC San Diego ended his professorial affiliation, effective by end of June 2026.</t>
  </si>
  <si>
    <t xml:space="preserve">Author and wellness entrepreneur as of July 2026; no longer affiliated with UCSD.</t>
  </si>
  <si>
    <t xml:space="preserve">• [alleged] Met Epstein at least a dozen times between 2016 and 2019 — years after Epstein's conviction  (2026 EFTA release, reported by KPBS / Voice of San Diego)
• [alleged] Numerous messages with Epstein about finances; nature of the financial discussions not fully documented  (Dataset 9 emails (per Entity Database v2.0, entry #56))</t>
  </si>
  <si>
    <t xml:space="preserve">• 2016-2019: Meets Epstein at least a dozen times
• 2026-02: UC San Diego announces the end of his professorial affiliation
• 2026-06: UCSD affiliation ends, effective by end of June 2026</t>
  </si>
  <si>
    <t xml:space="preserve">https://www.kpbs.org/podcasts/kpbs-midday-edition/ucsd-to-cut-ties-with-deepak-chopra-over-epstein-connection
https://voiceofsandiego.org/2026/02/05/deepak-chopra-new-age-guru-ucsd-prof-and-epstein-confidant/
https://en.wikipedia.org/wiki/List_of_people_named_in_the_Epstein_files</t>
  </si>
  <si>
    <t xml:space="preserve">P060</t>
  </si>
  <si>
    <t xml:space="preserve">Ehud Barak</t>
  </si>
  <si>
    <t xml:space="preserve">Documents show he met Epstein more than 60 times between September 2010 and March 2019, including while serving as Israeli Defense Minister, with regular email contact. Documented professional/social contact; never charged.</t>
  </si>
  <si>
    <t xml:space="preserve">He has defended the relationship as business/philanthropic; no corpus evidence establishes knowledge of criminal conduct. Israeli press has characterized his successive explanations as shifting.</t>
  </si>
  <si>
    <t xml:space="preserve">never charged in connection with Epstein</t>
  </si>
  <si>
    <t xml:space="preserve">No formal removal. Significant political and reputational damage in Israel.</t>
  </si>
  <si>
    <t xml:space="preserve">Former Israeli Prime Minister and Defense Minister; private businessman and political commentator as of July 2026.</t>
  </si>
  <si>
    <t xml:space="preserve">Publicly responded to criticism in February 2026, defending the relationship as business/philanthropic. Has acknowledged the personal relationship but denies witnessing improper behaviour.</t>
  </si>
  <si>
    <t xml:space="preserve">• [admitted] Met Epstein more than 60 times between September 2010 and March 2019, including while serving as Defense Minister, with regular email contact; stayed at a Manhattan building where the Israeli government had installed security equipment  (Jan 30, 2026 DOJ EFTA release, reported by Al Jazeera / JNS)
• [alleged] Received $40,000 via Achrayut Leumit Ltd on 2017-03-06; an Israeli NGO supporting the former PM. Barak 'reportedly frequents' 301 E 66th St, an Epstein-linked address  (EFTA01681865 Exhibit P)
• [alleged] His wife Priel Barak emailed Epstein about apartment usage; association continued years after the 2008 conviction  (Dataset 9 emails (per Entity Database v2.0, entry #52))</t>
  </si>
  <si>
    <t xml:space="preserve">• 2010-09: Documented meetings with Epstein begin
• 2017-03-06: $40,000 payment via Achrayut Leumit Ltd (EFTA01681865)
• 2019-03: Last of the 60+ documented meetings
• 2026-02-13: Publicly responds to criticism over his Epstein links</t>
  </si>
  <si>
    <t xml:space="preserve">Israeli press (JNS) has characterized his successive explanations as an unravelling 'web of deception' — that is commentary, not a finding, but the shifting-account issue is worth flagging. Presence in this dataset does not establish criminal conduct. Tier 4 records documented contact only.</t>
  </si>
  <si>
    <t xml:space="preserve">https://aljazeera.com/news/2026/2/13/former-israeli-pm-barak-responds-to-criticism-over-close-epstein-links
https://www.jns.org/analysis/ehud-baraks-web-of-deception-over-epstein-ties-unravels
https://en.wikipedia.org/wiki/List_of_people_named_in_the_Epstein_files</t>
  </si>
  <si>
    <t xml:space="preserve">⚠ No verified Israeli investigation.</t>
  </si>
  <si>
    <t xml:space="preserve">P061</t>
  </si>
  <si>
    <t xml:space="preserve">Eva Andersson-Dubin</t>
  </si>
  <si>
    <t xml:space="preserve">Recorded in the SDNY prosecution memo as present during a directed massage, and designated first successor trustee and contingent 100% beneficiary of the Epstein 2014 Trust. No charges; the memo does not characterize her role beyond her presence.</t>
  </si>
  <si>
    <t xml:space="preserve">trustee</t>
  </si>
  <si>
    <t xml:space="preserve">The prosecution memo records her presence during a directed massage; it makes no further characterization and no knowledge finding.</t>
  </si>
  <si>
    <t xml:space="preserve">Not covered by status_verification.md. No charges were ever brought against Glenn or Eva Dubin.</t>
  </si>
  <si>
    <t xml:space="preserve">• [alleged] 'Eva [Dubin was] present during [a] directed massage'  (EFTA02731082, p.57)
• [alleged] Designated first successor trustee of the Epstein 2014 Trust  (EFTA01266403, §7.1)
• [alleged] Contingent beneficiary of the entire estate: 'If [Celina] does not survive me [...] 100% to EVA ANDERSSON DUBIN'  (EFTA01266403, §2.4.B)</t>
  </si>
  <si>
    <t xml:space="preserve">• 2014-11-18: Named first successor trustee in the original trust (EFTA01266380)
• 2015-05-01: Position carried into the Amendment and Restatement (EFTA01266403)
• 2019-12-19: Prosecution memo documents her presence during a directed massage (EFTA02731082 p.57)</t>
  </si>
  <si>
    <t xml:space="preserve">She would receive $250K/year successor-trustee compensation if the succession activated; whether she ever actually served as trustee is an open question. The corpus flags a structural alignment — the person next in line to control the estate's witness-control mechanisms was married to someone with evidence exposure and was herself present during the conduct that generated that exposure — but draws no conclusion. Presence in this dataset does not establish criminal conduct. Tier 4 records documented contact only.</t>
  </si>
  <si>
    <t xml:space="preserve">EFTA02731082, EFTA01266380, EFTA01266403</t>
  </si>
  <si>
    <t xml:space="preserve">⚠ NOT COVERED in status_verification.md — criminal status, current position and alive/deceased are unverified against the July 2026 open-source record.
⚠ Whether she ever actually served as trustee: UNRESOLVED (OQ-T02-03).</t>
  </si>
  <si>
    <t xml:space="preserve">P062</t>
  </si>
  <si>
    <t xml:space="preserve">Hillary Clinton</t>
  </si>
  <si>
    <t xml:space="preserve">Entity Database v2.0 records only that Epstein was invited by Howard Lutnick to a fundraiser she hosted in November 2015, with no direct correspondence documented. She testified she never met Epstein. Never charged.</t>
  </si>
  <si>
    <t xml:space="preserve">She testified she never met Epstein and never visited any of his properties. No corpus document records any direct contact.</t>
  </si>
  <si>
    <t xml:space="preserve">Former Secretary of State, author, Columbia University affiliation, as of July 2026.</t>
  </si>
  <si>
    <t xml:space="preserve">Testified she 'never met Epstein' and never visited any of his properties.</t>
  </si>
  <si>
    <t xml:space="preserve">• [alleged] November 2015: Epstein was invited by Howard Lutnick to a Hillary Clinton fundraiser. No direct correspondence between her and Epstein is documented in the released files.  (Dataset 9 emails (per Entity Database v2.0, entry #64))</t>
  </si>
  <si>
    <t xml:space="preserve">• 2015-11: Epstein invited by Lutnick to a fundraiser she hosted
• 2026-01-21: Held in contempt by House Oversight vote after initially refusing to appear
• 2026-02-02: Reverses and agrees to testify
• 2026-02-26: Testifies for over six hours</t>
  </si>
  <si>
    <t xml:space="preserve">This is the thinnest kind of Tier 4 entry: an invitation extended to Epstein by a third party to an event she hosted. It is not evidence of a relationship. Presence in this dataset does not establish criminal conduct. Tier 4 records documented contact only.</t>
  </si>
  <si>
    <t xml:space="preserve">https://www.britannica.com/topic/The-Epstein-Files-A-Timeline/2026-Contempt-delays-and-more-documents
https://www.washingtonpost.com/politics/2026/02/02/bill-hillary-clinton-epstein-congress-testify/
https://www.aol.com/articles/house-panel-votes-hold-clintons-222534355.html</t>
  </si>
  <si>
    <t xml:space="preserve">P063</t>
  </si>
  <si>
    <t xml:space="preserve">Ian Osborne</t>
  </si>
  <si>
    <t xml:space="preserve">Described in the corpus as an 'Epstein associate'; travelled to Epstein's island in December 2011 to discuss the Gates donor advised funds, and had meetings with Epstein arranged by Lesley Groff. Documented contact only.</t>
  </si>
  <si>
    <t xml:space="preserve">• [alleged] 'Ian Osborne traveling to Epstein's island to discuss Gates donor advised funds'  (EFTA02021155)
• [alleged] Groff 'arranged meetings for Ian Osborne to see Epstein'  (EFTA02032063)</t>
  </si>
  <si>
    <t xml:space="preserve">• 2011-12: Travels to Little St. James to discuss the Gates DAF (EFTA02021155)</t>
  </si>
  <si>
    <t xml:space="preserve">NO CONDUCT IS ALLEGED. Presence in this dataset does not establish criminal conduct. Tier 4 records documented contact only.</t>
  </si>
  <si>
    <t xml:space="preserve">EFTA02021155, EFTA02032063</t>
  </si>
  <si>
    <t xml:space="preserve">P064</t>
  </si>
  <si>
    <t xml:space="preserve">Janet Staley</t>
  </si>
  <si>
    <t xml:space="preserve">Wife of Jes Staley; CC'd on social emails with Epstein. No conduct alleged.</t>
  </si>
  <si>
    <t xml:space="preserve">• [alleged] CC'd on social emails with Epstein  (EFTA01951455)</t>
  </si>
  <si>
    <t xml:space="preserve">• 2013-10-30: CC'd on the Staley/Epstein social email (EFTA01951455)</t>
  </si>
  <si>
    <t xml:space="preserve">NO CONDUCT IS ALLEGED. Email CC only. Presence in this dataset does not establish criminal conduct. Tier 4 records documented contact only.</t>
  </si>
  <si>
    <t xml:space="preserve">P065</t>
  </si>
  <si>
    <t xml:space="preserve">Jeff Bezos</t>
  </si>
  <si>
    <t xml:space="preserve">His name appears in a DOJ letter to Congress listing names in the files and in a 2009 Peggy Siegal email placing him at a Maxwell after-party. No substantiated allegation, no documented meeting or correspondence with Epstein. Never charged.</t>
  </si>
  <si>
    <t xml:space="preserve">No corpus evidence of any kind.</t>
  </si>
  <si>
    <t xml:space="preserve">Executive chairman of Amazon and founder of Blue Origin as of July 2026.</t>
  </si>
  <si>
    <t xml:space="preserve">• [alleged] October 2009 Peggy Siegal email to Epstein mentions 'Bill Clinton and Jeff Bezos were there' at Maxwell's after-party. Minimal additional documentation.  (Dataset 9 emails (per Entity Database v2.0, entry #63))
• [alleged] Name appears in a DOJ letter to Congress listing names in the files (2026-02-17)  (DOJ letter to Congress, 2026-02-17)</t>
  </si>
  <si>
    <t xml:space="preserve">• 2009-10: Named in a Peggy Siegal email as present at a Maxwell after-party
• 2026-02-17: Name appears in a DOJ letter to Congress listing names in the files</t>
  </si>
  <si>
    <t xml:space="preserve">status_verification.md is explicit: 'I could not verify any specific allegation, meeting, or correspondence involving Bezos... This is a case where mere name-appearance should not be reported as a connection.' The only corpus item is a third party's email placing him at a party. Presence in this dataset does not establish criminal conduct. Tier 4 records documented contact only.</t>
  </si>
  <si>
    <t xml:space="preserve">https://www.uniladtech.com/news/doj-send-letter-congress-list-epstein-files-278695-20260217
https://www.nbcnews.com/tech/tech-news/jeffrey-epstein-files-reveal-deep-tech-ties-musk-gates-rcna257092</t>
  </si>
  <si>
    <t xml:space="preserve">⚠ status_verification.md: no specific allegation, meeting or correspondence involving Bezos could be verified. NAME-IN-LIST ONLY. Mere name-appearance should not be reported as a connection.
⚠ No public response on record.</t>
  </si>
  <si>
    <t xml:space="preserve">P066</t>
  </si>
  <si>
    <t xml:space="preserve">Joanna Rubinstein</t>
  </si>
  <si>
    <t xml:space="preserve">Visited Epstein's private island in 2012, disclosed in the 2026 releases; documented contact with no evidence of criminal participation. Never charged.</t>
  </si>
  <si>
    <t xml:space="preserve">She maintains she met Epstein only once, which is in tension with the disclosed record of a 2012 island visit. No corpus evidence establishes knowledge of criminal conduct.</t>
  </si>
  <si>
    <t xml:space="preserve">Resigned as chair/head of Sweden for UNHCR, February 2026.</t>
  </si>
  <si>
    <t xml:space="preserve">No verified position as of July 2026.</t>
  </si>
  <si>
    <t xml:space="preserve">Maintains she met Epstein only once. This is directly in tension with the disclosed record of a 2012 visit to Epstein's private island — record both.</t>
  </si>
  <si>
    <t xml:space="preserve">• [admitted] Visited Epstein's private island in 2012  (2026 EFTA release, reported by Newsweek / Brussels Signal)</t>
  </si>
  <si>
    <t xml:space="preserve">• 2012: Visits Epstein's private island
• 2015: Becomes head of the U.S. branch of the World Childhood Foundation, founded by Queen Silvia of Sweden to protect children from sexual abuse
• 2026-02: Resigns as chair/head of Sweden for UNHCR</t>
  </si>
  <si>
    <t xml:space="preserve">The most damning contextual fact: from 2015 she headed the U.S. branch of the World Childhood Foundation — an organization founded by Queen Silvia of Sweden to protect children from sexual abuse. That is context, not an allegation. Presence in this dataset does not establish criminal conduct. Tier 4 records documented contact only.</t>
  </si>
  <si>
    <t xml:space="preserve">https://www.newsweek.com/elites-who-resigned-over-the-epstein-files-full-list-11470995
https://brusselssignal.eu/2026/02/swedish-unhcr-chief-resigns-after-epstein-files-reveal-she-visited-pedo-island/
https://www.deseret.com/politics/2026/02/28/timeline-of-epstein-resignations/
https://en.wikipedia.org/wiki/Joanna_Rubinstein</t>
  </si>
  <si>
    <t xml:space="preserve">⚠ No verified current position.</t>
  </si>
  <si>
    <t xml:space="preserve">P067</t>
  </si>
  <si>
    <t xml:space="preserve">Joichi Ito</t>
  </si>
  <si>
    <t xml:space="preserve">Received $2,081,984 from Epstein accounts between July 2014 and October 2016 in multiple venture investments. Documented financial relationship; never charged.</t>
  </si>
  <si>
    <t xml:space="preserve">Not covered by status_verification.md. Identified in the corpus as MIT Media Lab.</t>
  </si>
  <si>
    <t xml:space="preserve">• [alleged] Received $2,081,984 from Epstein accounts between July 2014 and October 2016 — multiple venture investments (Kyara, Blockstream, Neoteny 3 LP), 'Subscription and Capital Call'  (EFTA01681865 Exhibit P)</t>
  </si>
  <si>
    <t xml:space="preserve">• 2014-07: Payments begin (EFTA01681865)
• 2016-10: Payments conclude; total $2,081,984 (EFTA01681865)
• 2019: Resigned as MIT Media Lab director over the Epstein relationship (public record; the Minsky connection contributed)</t>
  </si>
  <si>
    <t xml:space="preserve">His 2019 resignation as MIT Media Lab director over the Epstein relationship is well established in the public record but is not documented in the corpus files read. Presence in this dataset does not establish criminal conduct. Tier 4 records documented contact only.</t>
  </si>
  <si>
    <t xml:space="preserve">P068</t>
  </si>
  <si>
    <t xml:space="preserve">Karim Wade</t>
  </si>
  <si>
    <t xml:space="preserve">Recipient of an Epstein email name-dropping Bill Gates in April 2011. Documented contact only.</t>
  </si>
  <si>
    <t xml:space="preserve">Not covered by status_verification.md. Son of Senegal's president.</t>
  </si>
  <si>
    <t xml:space="preserve">• [alleged] Recipient of Epstein's 2011-04-26 name-drop: 'Gates has asked me to do it.. he is coming on Monday the 2nd.'  (EFTA01866351)</t>
  </si>
  <si>
    <t xml:space="preserve">• 2011-04-26: Receives the Gates name-drop email (EFTA01866351)</t>
  </si>
  <si>
    <t xml:space="preserve">NO CONDUCT IS ALLEGED. The corpus's note for this whole category: 'Whether Gates was aware of Epstein's name-dropping is unclear.' Presence in this dataset does not establish criminal conduct. Tier 4 records documented contact only.</t>
  </si>
  <si>
    <t xml:space="preserve">EFTA01866351</t>
  </si>
  <si>
    <t xml:space="preserve">P069</t>
  </si>
  <si>
    <t xml:space="preserve">Karyna Shuliak</t>
  </si>
  <si>
    <t xml:space="preserve">Largest single named cash beneficiary of the Epstein trusts ($10M in the 2014 Trust chain; $50M plus $50M annuity, all properties and diamonds in the 1953 Trust) and recipient of $631,000 in direct payments. No allegation of criminal participation; not classified as a victim by the corpus.</t>
  </si>
  <si>
    <t xml:space="preserve">Not covered by status_verification.md. No charge, proceeding or victim designation recorded.</t>
  </si>
  <si>
    <t xml:space="preserve">• [alleged] Received $631,000 in direct payments from Epstein accounts, including a single $350,000 wire and a $150,000 payment to 'WINS LLC'  (EFTA01681865)
• [alleged] $34,586 in tuition paid to Institut Villa Pierrefeu, 'a finishing school specializing in teaching international etiquette to women'  (EFTA01681865 Exhibit R)
• [alleged] Primary beneficiary of The 1953 Trust: '$50M + $50M annuity + ALL properties + diamonds', including a 32.73-carat diamond ring and 48 loose diamonds, plus $30M in property operating trusts  (EFTA01266204)
• [alleged] Largest single named cash beneficiary of the 2014 Trust chain at $10,000,000  (EFTA01266403, §2.3.A)</t>
  </si>
  <si>
    <t xml:space="preserve">• 2015-01: Added as a Butterfly Trust beneficiary by Beller and Kellerhals (EFTA01681865)
• 2019-08-08: Named primary beneficiary of The 1953 Trust (EFTA01266204)</t>
  </si>
  <si>
    <t xml:space="preserve">The corpus documents extraordinary financial benefit but makes NO allegation of criminal participation and does NOT classify her as a victim. Receiving a bequest is not conduct. The corpus groups her in the trust's $5M-$10M 'inner circle' bracket whose recipients it says 'had the most to lose and the most knowledge' — that is the corpus's characterization of the bracket, not a finding about her. Presence in this dataset does not establish criminal conduct. Tier 4 records documented contact only.</t>
  </si>
  <si>
    <t xml:space="preserve">EFTA01681865, EFTA01266204, EFTA01266403</t>
  </si>
  <si>
    <t xml:space="preserve">⚠ NOT COVERED in status_verification.md — criminal status, current position and alive/deceased are unverified against the July 2026 open-source record.
⚠ Victim/beneficiary status unresolved in the corpus.</t>
  </si>
  <si>
    <t xml:space="preserve">P070</t>
  </si>
  <si>
    <t xml:space="preserve">Kimbal Musk</t>
  </si>
  <si>
    <t xml:space="preserve">Appears in a Boris Nikolic / Kimbal Musk / Epstein email chain as part of mutual introductions between Nikolic and Epstein. Documented contact only.</t>
  </si>
  <si>
    <t xml:space="preserve">• [alleged] Appears in a Boris Nikolic / Kimbal Musk / Epstein email chain; part of the 'mutual introductions' between Nikolic and Epstein  (EFTA02032070)</t>
  </si>
  <si>
    <t xml:space="preserve">• 2011-2014: Email chain with Nikolic and Epstein (EFTA02032070)</t>
  </si>
  <si>
    <t xml:space="preserve">EFTA02032070</t>
  </si>
  <si>
    <t xml:space="preserve">P071</t>
  </si>
  <si>
    <t xml:space="preserve">Landon Thomas Jr.</t>
  </si>
  <si>
    <t xml:space="preserve">New York Times journalist; recipient of a September 2012 email from Epstein. Documented contact only.</t>
  </si>
  <si>
    <t xml:space="preserve">Not covered by status_verification.md. NYT journalist.</t>
  </si>
  <si>
    <t xml:space="preserve">• [alleged] Recipient of Epstein's 2012-09-30 email: 'bill gates and I, are going to convene some very small gatherings on new solutions for the financial distress.'  (EFTA02006672)</t>
  </si>
  <si>
    <t xml:space="preserve">• 2012-09-30: Receives the email (EFTA02006672)</t>
  </si>
  <si>
    <t xml:space="preserve">NO CONDUCT IS ALLEGED. Journalist recipient of an Epstein email. Presence in this dataset does not establish criminal conduct. Tier 4 records documented contact only.</t>
  </si>
  <si>
    <t xml:space="preserve">EFTA02006672</t>
  </si>
  <si>
    <t xml:space="preserve">P072</t>
  </si>
  <si>
    <t xml:space="preserve">Larry Cohen</t>
  </si>
  <si>
    <t xml:space="preserve">Bill Gates's personal lawyer / bgC3 chief of staff; authorized by Gates to negotiate Boris Nikolic's severance with Epstein. Documented professional contact.</t>
  </si>
  <si>
    <t xml:space="preserve">• [alleged] Gates authorized him to deal with Epstein on a personnel matter: 'Larry Cohen is authorized to talk to you about the employment issues with Boris'  (EFTA01965179)
• [alleged] Epstein negotiated '8 detailed severance points with Larry Cohen', including 'If Melinda wants a divorce, how does Boris protect himself'  (EFTA01964544)</t>
  </si>
  <si>
    <t xml:space="preserve">• 2013-07: Authorized by Gates to negotiate with Epstein (EFTA01965179)
• 2013-08: Severance negotiation documents exchanged with Epstein (EFTA01964544)</t>
  </si>
  <si>
    <t xml:space="preserve">EFTA01965179, EFTA01964544, EFTA01959043</t>
  </si>
  <si>
    <t xml:space="preserve">P073</t>
  </si>
  <si>
    <t xml:space="preserve">Lauren Jiloty</t>
  </si>
  <si>
    <t xml:space="preserve">Senior Executive Assistant to Bill Gates; coordinated dinner scheduling directly between Gates and Epstein 2011-2014. Documented administrative contact.</t>
  </si>
  <si>
    <t xml:space="preserve">admin, scheduler</t>
  </si>
  <si>
    <t xml:space="preserve">• [alleged] Coordinated dinner scheduling directly between Gates and Epstein  (EFTA02131323; EFTA01797988)</t>
  </si>
  <si>
    <t xml:space="preserve">• 2011-2014: Coordinates Gates-Epstein dinner scheduling (EFTA01797988, EFTA02131323)</t>
  </si>
  <si>
    <t xml:space="preserve">NO CONDUCT IS ALLEGED. Administrative scheduling function only. Presence in this dataset does not establish criminal conduct. Tier 4 records documented contact only.</t>
  </si>
  <si>
    <t xml:space="preserve">EFTA02131323, EFTA01797988</t>
  </si>
  <si>
    <t xml:space="preserve">P074</t>
  </si>
  <si>
    <t xml:space="preserve">Lawrence Krauss</t>
  </si>
  <si>
    <t xml:space="preserve">Received $25,000 from Epstein accounts in April and November 2018. Documented payment only; never charged in any Epstein-related matter.</t>
  </si>
  <si>
    <t xml:space="preserve">Not covered by status_verification.md. Physicist.</t>
  </si>
  <si>
    <t xml:space="preserve">• [alleged] Received $25,000 in April 2018 and November 2018  (EFTA01681865 Exhibit P)
• [alleged] Fired by Arizona State University in 2018 for sexual misconduct — the corpus does NOT connect that finding to Epstein  (EFTA01681865 Exhibit P note; public record)</t>
  </si>
  <si>
    <t xml:space="preserve">• 2018-04: Payment from Epstein accounts (EFTA01681865)
• 2018-11: Further payment; total $25,000 (EFTA01681865)</t>
  </si>
  <si>
    <t xml:space="preserve">DO NOT CONFLATE. His 2018 ASU dismissal for sexual misconduct is a SEPARATE matter that the corpus expressly does not connect to Epstein. Separately, 'Mr. Krauss' appears among the 21 partially identified journal names with the corpus proposing him as a possible match — that proposal is EXPLICITLY NOT ESTABLISHED and must not be treated as an identification. Presence in this dataset does not establish criminal conduct. Tier 4 records documented contact only.</t>
  </si>
  <si>
    <t xml:space="preserve">EFTA01681865, EFTA02731420, EFTA02731465</t>
  </si>
  <si>
    <t xml:space="preserve">⚠ NOT COVERED in status_verification.md — criminal status, current position and alive/deceased are unverified against the July 2026 open-source record.
⚠ The 'Mr. Krauss' journal-name match is PROPOSED, NOT ESTABLISHED.
⚠ His 2018 ASU dismissal is a separate matter not connected to Epstein by the corpus.</t>
  </si>
  <si>
    <t xml:space="preserve">P075</t>
  </si>
  <si>
    <t xml:space="preserve">Lisa Kahn</t>
  </si>
  <si>
    <t xml:space="preserve">Wife of Epstein estate co-executor Richard D. Kahn; her debts to Epstein entities were cancelled by the trust. No conduct alleged.</t>
  </si>
  <si>
    <t xml:space="preserve">Not covered by status_verification.md. No charges, no allegations of conduct.</t>
  </si>
  <si>
    <t xml:space="preserve">• [alleged] Debts cancelled alongside her husband Richard D. Kahn and the entity Coatue Enterprises, LLC  (EFTA01266403, §2.3.A.25)</t>
  </si>
  <si>
    <t xml:space="preserve">• 2015-05-01: Debt cancellation added in the Amendment and Restatement (EFTA01266403)</t>
  </si>
  <si>
    <t xml:space="preserve">NO CONDUCT IS ALLEGED AGAINST HER. Recorded only because the corpus notes that Indyke and Kahn were the only two people to receive 'the complete package: cash bequest, loan forgiveness, and blanket debt cancellation extending to spouses and entities.' Presence in this dataset does not establish criminal conduct. Tier 4 records documented contact only.</t>
  </si>
  <si>
    <t xml:space="preserve">EFTA01266403</t>
  </si>
  <si>
    <t xml:space="preserve">P076</t>
  </si>
  <si>
    <t xml:space="preserve">Mark Epstein</t>
  </si>
  <si>
    <t xml:space="preserve">Brother of Jeffrey Epstein; $10,000,000 beneficiary of The 1953 Trust in trust for his children; met with SDNY after his brother's death. No conduct alleged.</t>
  </si>
  <si>
    <t xml:space="preserve">• [alleged] Beneficiary of The 1953 Trust — $10,000,000, item 39, 'In trust for his children'  (EFTA01266204)
• [alleged] Met with SDNY post-death (October 2019); his attorney was Stacey Richman. The Pretrial Services Report noted Jeffrey had 'minimal contact' with his brother.  (DS9: EFTA00039662-664)</t>
  </si>
  <si>
    <t xml:space="preserve">• 2019-08-08: Named a $10M beneficiary of The 1953 Trust (EFTA01266204)
• 2019-10: Meets with SDNY (EFTA00039662-664)</t>
  </si>
  <si>
    <t xml:space="preserve">EFTA01266204, EFTA00039662</t>
  </si>
  <si>
    <t xml:space="preserve">P077</t>
  </si>
  <si>
    <t xml:space="preserve">Melinda French Gates</t>
  </si>
  <si>
    <t xml:space="preserve">Attended a dinner at Epstein's residence on 2013-09-20 with Bill Gates and Larry Summers. Documented social contact only.</t>
  </si>
  <si>
    <t xml:space="preserve">Co-chair of the Gates Foundation (historical role recorded in the corpus). Current status not covered by status_verification.md.</t>
  </si>
  <si>
    <t xml:space="preserve">• [alleged] Attended the 2013-09-20 dinner at Epstein's with Bill Gates and Larry Summers  (EFTA01960417)
• [alleged] Referenced in Epstein's June 2013 Crazy Horse commentary — 'this is pretty bad. and might have been the cause of her bad mail in paris' — which the corpus reads as suggesting she sent an angry email about the Paris visit  (EFTA01966279)</t>
  </si>
  <si>
    <t xml:space="preserve">• 2013-09-20: Dinner at Epstein's (EFTA01960417)</t>
  </si>
  <si>
    <t xml:space="preserve">The Nikolic draft resignation letter cites 'a severe marital dispute between Melinda and Bill'; the corpus flags these allegations as UNVERIFIED. Presence in this dataset does not establish criminal conduct. Tier 4 records documented contact only.</t>
  </si>
  <si>
    <t xml:space="preserve">EFTA01960417, EFTA01966279, EFTA01901796, EFTA01965732</t>
  </si>
  <si>
    <t xml:space="preserve">⚠ NOT COVERED in status_verification.md — criminal status, current position and alive/deceased are unverified against the July 2026 open-source record.
⚠ Nikolic draft resignation allegations: UNVERIFIED per the corpus.</t>
  </si>
  <si>
    <t xml:space="preserve">P078</t>
  </si>
  <si>
    <t xml:space="preserve">Michael Ovitz</t>
  </si>
  <si>
    <t xml:space="preserve">CC'd on a social email with Staley and Epstein; separately listed on a March 2012 'Seminar-POWER' document. Documented contact only.</t>
  </si>
  <si>
    <t xml:space="preserve">• [alleged] CC'd on a social email with Staley and Epstein  (EFTA01951455)
• [alleged] Listed on a March 2012 'Seminar-POWER' document alongside Clinton, Gates and Mitchell (surname only in the document)  (EFTA01983409)</t>
  </si>
  <si>
    <t xml:space="preserve">• 2012-03: Appears on the 'Seminar-POWER' list (EFTA01983409)
• 2013-10-30: CC'd on the Staley social email (EFTA01951455)</t>
  </si>
  <si>
    <t xml:space="preserve">NO CONDUCT IS ALLEGED. The 'Seminar-POWER' entry is a SURNAME ONLY; the corpus does not identify the person and asks 'What were these seminars?' as an open question. EFTA01951455 is flagged in the corpus's redaction analysis as a document whose CC names were partially reconstructed from redacted fields. Presence in this dataset does not establish criminal conduct. Tier 4 records documented contact only.</t>
  </si>
  <si>
    <t xml:space="preserve">EFTA01951455, EFTA01983409</t>
  </si>
  <si>
    <t xml:space="preserve">⚠ NOT COVERED in status_verification.md — criminal status, current position and alive/deceased are unverified against the July 2026 open-source record.
⚠ The 'Seminar-POWER' entry is surname-only; identification is not established.
⚠ EFTA01951455 CC names were partially reconstructed from redacted fields.</t>
  </si>
  <si>
    <t xml:space="preserve">P079</t>
  </si>
  <si>
    <t xml:space="preserve">Michael Wolff</t>
  </si>
  <si>
    <t xml:space="preserve">Author of an email preserved in the corpus stating that Gates prodded Epstein to begin a process of public rehabilitation. Witness, not subject.</t>
  </si>
  <si>
    <t xml:space="preserve">Not covered by status_verification.md. Author/journalist.</t>
  </si>
  <si>
    <t xml:space="preserve">• [alleged] Stated in an email preserved in the corpus: 'It is Bill Gates who at the end of the summer began prodding Epstein to begin a process of public rehabilitation'  (EFTA01747368)</t>
  </si>
  <si>
    <t xml:space="preserve">• undated: The email appears in Dataset 9 (EFTA01747368)</t>
  </si>
  <si>
    <t xml:space="preserve">NO CONDUCT IS ALLEGED. He appears as a source/witness to the Gates dynamic. Presence in this dataset does not establish criminal conduct. Tier 4 records documented contact only.</t>
  </si>
  <si>
    <t xml:space="preserve">EFTA01747368</t>
  </si>
  <si>
    <t xml:space="preserve">P080</t>
  </si>
  <si>
    <t xml:space="preserve">Michelle Fern Saipher</t>
  </si>
  <si>
    <t xml:space="preserve">Wife of Epstein's personal attorney Darren Indyke; recipient of trust bequests, a $1,825,000 payment and blanket debt cancellation. No conduct alleged.</t>
  </si>
  <si>
    <t xml:space="preserve">• [alleged] Received a $1,825,000 payment on 2014-05-16  (EFTA01681865)
• [alleged] Deutsche Bank flagged 'Michelle's Transport Co. LLC' as a 'Suspected Epstein-Controlled Entity'  (EFTA01681865)
• [alleged] All debts owed by her to Epstein or Epstein-related entities cancelled, alongside Indyke and Harlequin Dane, LLC  (EFTA01266403, §2.3.A.24)
• [alleged] $3,000,000 conditional provision, payable only 'if she is then married to DARREN KEITH INDYKE', for the property at 2 Kean Court, Livingston, New Jersey  (EFTA01266427, §2.3.A.24)</t>
  </si>
  <si>
    <t xml:space="preserve">• 2014-05-16: Receives $1,825,000 (EFTA01681865)
• 2015-05-01: Debt cancellation added (EFTA01266403)
• 2015-09: $3M real estate provision added, conditioned on continued marriage to Indyke (EFTA01266427)</t>
  </si>
  <si>
    <t xml:space="preserve">NO CONDUCT IS ALLEGED AGAINST HER. The bank's suspicion attaches to the ENTITY ('Michelle's Transport Co. LLC'), not to conduct alleged against her. The corpus reads her inclusion as evidence that Epstein's financial reach extended into Indyke's family; the marriage condition is flagged as a provision binding Indyke's personal life to his professional relationship. Presence in this dataset does not establish criminal conduct. Tier 4 records documented contact only.</t>
  </si>
  <si>
    <t xml:space="preserve">EFTA01681865, EFTA01266403, EFTA01266427, EFTA01266204</t>
  </si>
  <si>
    <t xml:space="preserve">⚠ NOT COVERED in status_verification.md — criminal status, current position and alive/deceased are unverified against the July 2026 open-source record.
⚠ Purpose of the $1,825,000 payment: UNEXPLAINED (OQ-T07-05).
⚠ Nature of 'Michelle's Transport Co. LLC': UNEXPLAINED.</t>
  </si>
  <si>
    <t xml:space="preserve">P081</t>
  </si>
  <si>
    <t xml:space="preserve">Mortimer Zuckerman</t>
  </si>
  <si>
    <t xml:space="preserve">Invited by Epstein to meet Jes Staley: 'jes staley, next head of jpm will be at my house at five tomorrow if you want to join.' Documented contact only.</t>
  </si>
  <si>
    <t xml:space="preserve">• [alleged] Invited by Epstein to meet Staley at his house  (EFTA01824670)</t>
  </si>
  <si>
    <t xml:space="preserve">• 2010-02-18: Epstein emails him the invitation (EFTA01824670)</t>
  </si>
  <si>
    <t xml:space="preserve">NO CONDUCT IS ALLEGED. Documented contact only. Presence in this dataset does not establish criminal conduct. Tier 4 records documented contact only.</t>
  </si>
  <si>
    <t xml:space="preserve">EFTA01824670</t>
  </si>
  <si>
    <t xml:space="preserve">P082</t>
  </si>
  <si>
    <t xml:space="preserve">Nicholas Ribis</t>
  </si>
  <si>
    <t xml:space="preserve">Named in the corpus's open question about a $150,000 Epstein payment to NLR Resorts. Documented payment reference only.</t>
  </si>
  <si>
    <t xml:space="preserve">• [alleged] Named in the corpus's open question: 'What was the $150,000 to NLR Resorts (Nicholas Ribis / Trump Organization connection) for?'  (EFTA01681865)</t>
  </si>
  <si>
    <t xml:space="preserve">• undated: $150,000 payment to NLR Resorts (EFTA01681865)</t>
  </si>
  <si>
    <t xml:space="preserve">NO CONDUCT IS ALLEGED. 'NLR Ventures LLC' separately appears in the 1953 Trust debt-forgiveness list with an undocumented function; the corpus does NOT state a relationship between NLR Resorts and NLR Ventures. Presence in this dataset does not establish criminal conduct. Tier 4 records documented contact only.</t>
  </si>
  <si>
    <t xml:space="preserve">⚠ NOT COVERED in status_verification.md — criminal status, current position and alive/deceased are unverified against the July 2026 open-source record.
⚠ Purpose of the $150,000 payment: UNEXPLAINED.
⚠ No established relationship between NLR Resorts and NLR Ventures LLC.</t>
  </si>
  <si>
    <t xml:space="preserve">P083</t>
  </si>
  <si>
    <t xml:space="preserve">Noam Chomsky</t>
  </si>
  <si>
    <t xml:space="preserve">Received $269,159 from Epstein accounts on December 3, 2018, routed via Darren K. Indyke PLLC, with no purpose identified in Deutsche Bank records. Documented payment only; never charged.</t>
  </si>
  <si>
    <t xml:space="preserve">• [alleged] Received $269,159 on 2018-12-03, routed via Darren K. Indyke PLLC; 'No purpose identified' in Deutsche Bank records  (EFTA01681865 Exhibit P)</t>
  </si>
  <si>
    <t xml:space="preserve">• 2018-12-03: Receives $269,159 via Indyke PLLC (EFTA01681865)</t>
  </si>
  <si>
    <t xml:space="preserve">NO CONDUCT IS ALLEGED. The purpose of the payment is an unresolved corpus open question (OQ-T07-07): 'Why did Epstein pay $269,159 to Noam Chomsky?' Presence in this dataset does not establish criminal conduct. Tier 4 records documented contact only.</t>
  </si>
  <si>
    <t xml:space="preserve">⚠ NOT COVERED in status_verification.md — criminal status, current position and alive/deceased are unverified against the July 2026 open-source record.
⚠ Purpose of the $269,159 payment: UNEXPLAINED in the corpus.</t>
  </si>
  <si>
    <t xml:space="preserve">P084</t>
  </si>
  <si>
    <t xml:space="preserve">Paul Tudor Jones</t>
  </si>
  <si>
    <t xml:space="preserve">Hedge fund founder; Epstein held $13.1M in Tudor Futures through Southern Financial LLC. Investment relationship only; no evidence of awareness of or participation in criminal activity.</t>
  </si>
  <si>
    <t xml:space="preserve">• [alleged] Tudor Futures investment: $5M initial investment 2001-01-30, $4.19M distribution received 2013-01-14, fair market value $13,100,259 as of 2013-04-30 — one of the most profitable Epstein investments documented  (EFTA02674602 pp.3, 6, 7)</t>
  </si>
  <si>
    <t xml:space="preserve">• 2001-01-30: Epstein's $5M initial investment in Tudor Futures (EFTA02674602)
• 2013-04-30: Position valued at $13,100,259 (EFTA02674602)</t>
  </si>
  <si>
    <t xml:space="preserve">NO CONDUCT IS ALLEGED. The project's Entity Database v2.2 addendum states expressly: 'No evidence of awareness of or participation in criminal activity. Investment relationship only.' Presence in this dataset does not establish criminal conduct. Tier 4 records documented contact only.</t>
  </si>
  <si>
    <t xml:space="preserve">EFTA02674602</t>
  </si>
  <si>
    <t xml:space="preserve">P085</t>
  </si>
  <si>
    <t xml:space="preserve">Peggy Siegal</t>
  </si>
  <si>
    <t xml:space="preserve">Facilitated Epstein's access to elite social events after his 2008 conviction and received $85,000 in consulting fees plus a $100,000 gift — documented professional contact and reputation-facilitation, no evidence of criminal participation. Never charged.</t>
  </si>
  <si>
    <t xml:space="preserve">publicist</t>
  </si>
  <si>
    <t xml:space="preserve">She was in direct email contact with Epstein about his guests and social positioning after his conviction, and by her own account was involved in his 'baby mama' search. No corpus evidence establishes knowledge of criminal conduct.</t>
  </si>
  <si>
    <t xml:space="preserve">Substantial and dating to 2019 — dropped by clients and effectively ostracized after it emerged she facilitated Epstein's access to elite social events. Netflix and FX severed ties. No new verified 2026 firing.</t>
  </si>
  <si>
    <t xml:space="preserve">Publicist with a diminished practice as of July 2026.</t>
  </si>
  <si>
    <t xml:space="preserve">Gave an extensive tell-all interview to New York Magazine (March 2026), profiled as 'the Grande Dame of the Epstein Files.'</t>
  </si>
  <si>
    <t xml:space="preserve">• [alleged] Received $85,000 in 'consulting fees' between July 2017 and July 2018; Netflix and FX severed ties based on her Epstein connections  (EFTA01681865 Exhibit P)
• [alleged] In direct email contact with Epstein about Bill Gates's visits: told 'Im in palm beach, with bill gates at the house', she responds 'Very exciting about Bill Gates. Where is Melinda?'  (EFTA01901796; EFTA01969029)
• [alleged] October 2009 email to Epstein: just left Maxwell's house after-party; 'Bill Clinton and Jeff Bezos were there' — documented social connection after the 2008 conviction  (Dataset 9 emails (per Entity Database v2.0, entry #55))
• [admitted] Received a $100,000 gift from Epstein, and described his 'baby mama' search  (New York Magazine interview, March 2026)</t>
  </si>
  <si>
    <t xml:space="preserve">• 2009-10: Email placing Bill Clinton and Jeff Bezos at a Maxwell after-party
• 2013-03: Palm Beach exchange with Epstein about Gates (EFTA01901796)
• 2017-07: Consulting fee payments begin; total $85,000 through July 2018 (EFTA01681865)
• 2019: Dropped by clients and effectively ostracized after it emerged she facilitated Epstein's access to elite social events
• 2026-03: New York Magazine tell-all interview published</t>
  </si>
  <si>
    <t xml:space="preserve">New York Magazine's framing conceded she was, in a distinct sense, also a kind of Epstein victim — a characterization that is contested. Record both. Presence in this dataset does not establish criminal conduct. Tier 4 records documented contact only.</t>
  </si>
  <si>
    <t xml:space="preserve">EFTA01681865, EFTA01901796, EFTA01969029</t>
  </si>
  <si>
    <t xml:space="preserve">https://www.hollywoodreporter.com/news/general-news/hollywood-publicist-peggy-siegal-jeffrey-epstein-new-york-interview-1236522678/
https://www.odwyerpr.com/story/public/24441/2026-03-12/nym-profiles-peggy-siegal-as-grande-dame-epstein-files.html
https://www.showbiz411.com/2026/03/04/report-ny-magazine-concedes-hollywood-publicist-peggy-siegal-was-a-different-kind-of-jeffrey-epstein-victim</t>
  </si>
  <si>
    <t xml:space="preserve">P086</t>
  </si>
  <si>
    <t xml:space="preserve">Peter Attia</t>
  </si>
  <si>
    <t xml:space="preserve">Roughly 1,700 appearances in the releases and extensive correspondence with Epstein, including a released email reading 'the life you lead is so outrageous, and yet I can't tell a soul.' Entity Database v2.0 classifies him Tier 4. Never charged.</t>
  </si>
  <si>
    <t xml:space="preserve">The released email 'the life you lead is so outrageous, and yet I can't tell a soul' speaks directly to knowledge — status_verification.md calls it 'the most consequential single line in his file.' His own apology is framed as regret for the emails becoming public, not clearly for the conduct.</t>
  </si>
  <si>
    <t xml:space="preserve">Three positions lost in roughly six weeks (Jan-Feb 2026): parted ways with AG1 (scientific adviser); parted ways with David (chief science officer); stepped down as a CBS News contributor effective February 23, 2026.</t>
  </si>
  <si>
    <t xml:space="preserve">Physician, author and podcaster (Early Medical / 'The Drive') as of July 2026. Corporate and media affiliations severed.</t>
  </si>
  <si>
    <t xml:space="preserve">"I apologize and regret putting myself in a position where emails are now public." (Note the framing — the regret is for the emails becoming public, not clearly for the conduct.) Separately gave a public apology for 'embarrassing, tasteless, and indefensible' emails.</t>
  </si>
  <si>
    <t xml:space="preserve">• [alleged] His name appeared roughly 1,700 times in the releases; one released email to Epstein reads 'the life you lead is so outrageous, and yet I can't tell a soul'  (Jan 30, 2026 DOJ EFTA release, reported by NBC News / Britannica)
• [admitted] Extensive communications with Epstein including a crude 2016 email; contact continued through spring 2019  (EFTA releases across multiple datasets (per Entity Database v2.0, entry #61))</t>
  </si>
  <si>
    <t xml:space="preserve">• 2016: Crude email to Epstein
• 2019: Contact with Epstein continues through spring
• 2026-01: Parts ways with AG1 (scientific adviser) and with David (chief science officer)
• 2026-02-23: Steps down as a CBS News contributor</t>
  </si>
  <si>
    <t xml:space="preserve">A Tier 3 argument is available on the strength of the 'I can't tell a soul' email, which is direct evidence of awareness that something was seriously wrong. He is retained at Tier 4 because that is the project's own Entity Database v2.0 assignment; a reviewer should reconsider. Presence in this dataset does not establish criminal conduct. Tier 4 records documented contact only.</t>
  </si>
  <si>
    <t xml:space="preserve">⚠ Tier is retained at T4 per Entity Database v2.0; the 'I can't tell a soul' email arguably supports T3.</t>
  </si>
  <si>
    <t xml:space="preserve">P087</t>
  </si>
  <si>
    <t xml:space="preserve">Priel Barak</t>
  </si>
  <si>
    <t xml:space="preserve">Wife of Ehud Barak; emailed Epstein about apartment usage. Documented contact only.</t>
  </si>
  <si>
    <t xml:space="preserve">• [alleged] Emailed Epstein about apartment usage; associated with Epstein through her husband's relationship  (Dataset 9 emails (per Entity Database v2.0, entry #53))</t>
  </si>
  <si>
    <t xml:space="preserve">P088</t>
  </si>
  <si>
    <t xml:space="preserve">Robert Maxwell</t>
  </si>
  <si>
    <t xml:space="preserve">Ghislaine Maxwell's father; deceased 1991. Appears in the corpus ONLY as material in an intelligence hypothesis catalog, with no allegation connecting him to Epstein's operation.</t>
  </si>
  <si>
    <t xml:space="preserve">Deceased since 1991. Never charged in any Epstein-related matter — he predeceased the operation's documented period.</t>
  </si>
  <si>
    <t xml:space="preserve">• [alleged] HYPOTHESIS MATERIAL ONLY. An FBI FD-1023 confidential human source described him as 'a very wealthy Israeli Intelligence (Mossad) Agent'; a DOJ report states that after his 1991 death 'it was revealed that he was working for the Israeli government and the Mossad'  (EFTA01683612; DOJ-OGR-00032040 p.51)
• [alleged] Epstein forwarded an article in March 2018 describing Robert Maxwell's alleged Mossad ties  (EFTA02507843)</t>
  </si>
  <si>
    <t xml:space="preserve">• 1991: Dies at sea
• 2018-03-15: Epstein forwards the Mossad article (EFTA02507843)</t>
  </si>
  <si>
    <t xml:space="preserve">HYPOTHESIS MATERIAL ONLY. The source thread is expressly a hypothesis catalog whose own summary states it 'does not assert that Epstein was definitively a CIA or Mossad asset'; the DOJ OIG reached the contrary conclusion (EFTA01658887). The FD-1023 CHS misdates his death to the 1980s (it was 1991). The corpus's significant observation is about EPSTEIN — that he forwarded an article describing his girlfriend's father's intelligence career — not about Robert Maxwell. Open Question #8, 'Did Robert Maxwell introduce Epstein to Mossad?', is unresolved and unevidenced. Presence in this dataset does not establish criminal conduct. Tier 4 records documented contact only.</t>
  </si>
  <si>
    <t xml:space="preserve">EFTA01683612, EFTA02507843, EFTA01582934, EFTA00277076, EFTA01658887</t>
  </si>
  <si>
    <t xml:space="preserve">⚠ NOT COVERED in status_verification.md — criminal status, current position and alive/deceased are unverified against the July 2026 open-source record.
⚠ ALL material about him is hypothesis material, expressly labelled as such by the corpus.
⚠ One FBI tip ('I suspect Robert, Ghislaine, and Jeffery were all Mossad', EFTA00277076) is an unverified public submission.
⚠ The DOJ OIG reached the contrary conclusion (EFTA01658887).</t>
  </si>
  <si>
    <t xml:space="preserve">P089</t>
  </si>
  <si>
    <t xml:space="preserve">Stephen Kosslyn</t>
  </si>
  <si>
    <t xml:space="preserve">Authored and emailed Epstein two PR scripts on July 18, 2011 — one for Epstein and one for Bill Gates to use with reporters — which the corpus calls the key document transforming social association into active reputation laundering. Never charged.</t>
  </si>
  <si>
    <t xml:space="preserve">publicist, academic</t>
  </si>
  <si>
    <t xml:space="preserve">He drafted talking points explicitly acknowledging Epstein's conviction and incarceration and framing a redemption narrative — establishing knowledge of the conviction and deliberate participation in reputation management.</t>
  </si>
  <si>
    <t xml:space="preserve">Not covered by status_verification.md. Then Director of Stanford's Center for Advanced Study in Behavioral Sciences; later Minerva University.</t>
  </si>
  <si>
    <t xml:space="preserve">• [alleged] Authored and emailed Epstein 'Two scripts' on 2011-07-18, including the Gates script: 'We realize that Jeffrey has made mistakes in the past. But he's paid his debt to society by being incarcerated; He is resolved to making up for his past mistakes... everyone deserves a second chance.'  (EFTA02030179)</t>
  </si>
  <si>
    <t xml:space="preserve">• 2011-07-18: Sends the PR rehabilitation scripts (EFTA02030179)</t>
  </si>
  <si>
    <t xml:space="preserve">The corpus calls this 'THE KEY DOCUMENT' of the Gates thread — the evidence transforming social association into 'active complicity in reputation laundering.' Whether the scripts were ever used with reporters is an unresolved open question. Presence in this dataset does not establish criminal conduct. Tier 4 records documented contact only.</t>
  </si>
  <si>
    <t xml:space="preserve">EFTA02030179</t>
  </si>
  <si>
    <t xml:space="preserve">⚠ NOT COVERED in status_verification.md — criminal status, current position and alive/deceased are unverified against the July 2026 open-source record.
⚠ Whether the PR rehabilitation scripts were ever used with reporters: UNRESOLVED.</t>
  </si>
  <si>
    <t xml:space="preserve">P090</t>
  </si>
  <si>
    <t xml:space="preserve">Steve Bannon</t>
  </si>
  <si>
    <t xml:space="preserve">Documented thousands of texts with Epstein, use of Epstein's Paris apartment, Palm Beach house and plane, and media-coaching of Epstein in 2019 — extensive documented contact continuing long after the 2008 conviction, with no evidence of criminal participation. Never charged in connection with Epstein.</t>
  </si>
  <si>
    <t xml:space="preserve">publicist, executive</t>
  </si>
  <si>
    <t xml:space="preserve">He media-coached Epstein in 2019 and continued the relationship long after the 2008 conviction — conduct that establishes he knew of the conviction. No corpus evidence establishes knowledge of ongoing criminal conduct.</t>
  </si>
  <si>
    <t xml:space="preserve">never charged in connection with Epstein. (His unrelated convictions — contempt of Congress, and the New York 'We Build the Wall' fraud plea — are separate and must not be conflated.)</t>
  </si>
  <si>
    <t xml:space="preserve">Host of 'War Room' and political strategist as of July 2026.</t>
  </si>
  <si>
    <t xml:space="preserve">UNVERIFIED for 2026. He has previously acknowledged filming interviews with Epstein and framed it as documentary/media work.</t>
  </si>
  <si>
    <t xml:space="preserve">• [alleged] Exchanged thousands of texts with Epstein, used Epstein's Paris apartment, Palm Beach house and plane, media-coached Epstein in 2019, continued the relationship long after the 2008 conviction, and discussed opposition research on Pope Francis  (2026 EFTA release, reported by NBC News / List of people named in the Epstein files)
• [alleged] Received an Apple Watch gift from Epstein; hundreds of text messages exchanged pre-2019; FBI 302 interview June 2020 (4 pages, heavily redacted); a nearly 2-hour FBI interview video exists  (Dataset 8; Bannon FBI 302 (per Entity Database v2.0, entry #54))
• [alleged] March 2018 iMessage from Epstein: 'joi will organize a meeting with the powers behind times up (they prefer academic setting for cover)'  (EFTA01615010)</t>
  </si>
  <si>
    <t xml:space="preserve">• 2018-03: Epstein iMessage about organizing a meeting with 'the powers behind times up' (EFTA01615010)
• 2019: Media-coaches Epstein
• 2020-06: FBI 302 interview (4 pages, heavily redacted); a nearly 2-hour interview video exists</t>
  </si>
  <si>
    <t xml:space="preserve">Do not conflate his unrelated convictions (contempt of Congress; the NY 'We Build the Wall' fraud plea) with any Epstein nexus. Presence in this dataset does not establish criminal conduct. Tier 4 records documented contact only.</t>
  </si>
  <si>
    <t xml:space="preserve">EFTA01615010</t>
  </si>
  <si>
    <t xml:space="preserve">https://en.wikipedia.org/wiki/List_of_people_named_in_the_Epstein_files
https://www.nbcnews.com/politics/justice-department/least-half-dozen-top-trump-administration-officials-appear-jeffrey-eps-rcna258749</t>
  </si>
  <si>
    <t xml:space="preserve">⚠ No 2026 statement located.
⚠ No resignation, no verified investigation.</t>
  </si>
  <si>
    <t xml:space="preserve">P091</t>
  </si>
  <si>
    <t xml:space="preserve">Sultan Ahmed bin Sulayem</t>
  </si>
  <si>
    <t xml:space="preserve">Attended an Epstein dinner party the same weekend as the Gates/Summers/Staley dinner. Documented contact only. One of six previously redacted names revealed in the January 30, 2026 DOJ release.</t>
  </si>
  <si>
    <t xml:space="preserve">Not covered by status_verification.md as an individual record.</t>
  </si>
  <si>
    <t xml:space="preserve">• [alleged] Attended an Epstein dinner party the same weekend as the Gates/Summers/Staley dinner  (EFTA02032435)
• [alleged] One of six previously redacted names revealed in the January 30, 2026 DOJ release  (Jan 30, 2026 DOJ EFTA release)</t>
  </si>
  <si>
    <t xml:space="preserve">• 2011-05: Attends an Epstein dinner party (EFTA02032435)
• 2026-01-30: Name revealed as one of six previously redacted names in the DOJ release</t>
  </si>
  <si>
    <t xml:space="preserve">EFTA02032435</t>
  </si>
  <si>
    <t xml:space="preserve">P092</t>
  </si>
  <si>
    <t xml:space="preserve">Terje Rød-Larsen</t>
  </si>
  <si>
    <t xml:space="preserve">Received $250,000 from Epstein accounts on December 21, 2015; Epstein was a 'significant benefactor' of his think tank, the International Peace Institute. Documented financial relationship; never charged.</t>
  </si>
  <si>
    <t xml:space="preserve">• [alleged] Received $250,000 on 2015-12-21; key Oslo Accords negotiator; Epstein was a 'significant benefactor' of his think tank (IPI)  (EFTA01681865 Exhibit P)</t>
  </si>
  <si>
    <t xml:space="preserve">• 2015-12-21: Receives $250,000 (EFTA01681865)</t>
  </si>
  <si>
    <t xml:space="preserve">P093</t>
  </si>
  <si>
    <t xml:space="preserve">Timothy C. Collins</t>
  </si>
  <si>
    <t xml:space="preserve">CC'd on a social email with Staley and Epstein and referenced in a business-context email about Prince Andrew. Documented contact only.</t>
  </si>
  <si>
    <t xml:space="preserve">• [alleged] CC'd on a social email with Staley and Epstein  (EFTA01951455)
• [alleged] Referenced in Epstein's email to Staley: 'prince Andrew would like much more to represent casanov in china than tim collins'  (EFTA00029434)</t>
  </si>
  <si>
    <t xml:space="preserve">• 2010-09-28: Named in the Epstein-Staley email about Prince Andrew and China business (EFTA00029434)
• 2013-10-30: CC'd on the Staley social email (EFTA01951455)</t>
  </si>
  <si>
    <t xml:space="preserve">NO CONDUCT IS ALLEGED. Business-context mention only. Presence in this dataset does not establish criminal conduct. Tier 4 records documented contact only.</t>
  </si>
  <si>
    <t xml:space="preserve">EFTA01951455, EFTA00029434</t>
  </si>
  <si>
    <t xml:space="preserve">P094</t>
  </si>
  <si>
    <t xml:space="preserve">Tom Barrack</t>
  </si>
  <si>
    <t xml:space="preserve">Documented regular contact with Epstein over years, including business discussions and introductions Epstein facilitated — social and professional contact with no evidence of criminal participation. Never charged in connection with Epstein.</t>
  </si>
  <si>
    <t xml:space="preserve">financier, politician, executive</t>
  </si>
  <si>
    <t xml:space="preserve">never charged in connection with Epstein. (He was separately tried and ACQUITTED in 2022 on unrelated foreign-agent charges — do not conflate.)</t>
  </si>
  <si>
    <t xml:space="preserve">none as of 2026-07-31</t>
  </si>
  <si>
    <t xml:space="preserve">U.S. Ambassador to Turkey as of July 2026. One of at least half a dozen serving Trump administration officials who appear in the files.</t>
  </si>
  <si>
    <t xml:space="preserve">• [alleged] Kept in regular contact with Epstein for years, including business discussions on Middle East opportunities; Epstein facilitated introductions for him to Peter Thiel, Ehud Barak and Vitaly Churkin  (Jan 30, 2026 DOJ EFTA release, reported by CBS News)
• [alleged] Recipient of Epstein's 2012-01-09 email: 'IN the dining room there are photos of Bill Gates with Larry Summers taken at the house the other day, should I have someone take them down. or is he ok with competition'  (EFTA01844429)
• [alleged] Communicated with Epstein through at least 2017; shared emails and texts; organized private meetings  (Dataset 9 emails (per Entity Database v2.0, entry #51))</t>
  </si>
  <si>
    <t xml:space="preserve">• 2012-01-09: Receives the 'trophy photos' email from Epstein (EFTA01844429)
• 2017: Communication with Epstein continues through at least this year</t>
  </si>
  <si>
    <t xml:space="preserve">Do not conflate his 2022 acquittal on unrelated foreign-agent charges with the Epstein matter. Presence in this dataset does not establish criminal conduct. Tier 4 records documented contact only.</t>
  </si>
  <si>
    <t xml:space="preserve">EFTA01844429</t>
  </si>
  <si>
    <t xml:space="preserve">https://www.cbsnews.com/news/tom-barrack-jeffrey-epstein-files/
https://www.nbcnews.com/politics/justice-department/least-half-dozen-top-trump-administration-officials-appear-jeffrey-eps-rcna258749
https://en.wikipedia.org/wiki/List_of_people_named_in_the_Epstein_files</t>
  </si>
  <si>
    <t xml:space="preserve">⚠ No 2026 statement located.
⚠ No charges or investigation verified.</t>
  </si>
  <si>
    <t xml:space="preserve">P095</t>
  </si>
  <si>
    <t xml:space="preserve">Woody Allen</t>
  </si>
  <si>
    <t xml:space="preserve">Documented as a guest at Epstein's townhouse from 2010 onward — i.e. after Epstein's conviction — plus a birthday letter, photographs on a private plane, and Epstein's assistance with his daughter's college admission and a White House visit. Documented social contact; never charged.</t>
  </si>
  <si>
    <t xml:space="preserve">No corpus evidence establishes awareness of criminal conduct. Contact was post-conviction and thus establishes knowledge of the conviction only.</t>
  </si>
  <si>
    <t xml:space="preserve">never charged with any crime, in the Epstein matter or otherwise. (The 1992/1993 Dylan Farrow allegation was investigated and no charges were brought — separate matter.)</t>
  </si>
  <si>
    <t xml:space="preserve">None traceable to Epstein; his pre-existing industry marginalization stems from the Farrow allegations.</t>
  </si>
  <si>
    <t xml:space="preserve">Filmmaker as of July 2026.</t>
  </si>
  <si>
    <t xml:space="preserve">• [alleged] Guest at Epstein's townhouse from 2010 onward (after the conviction); wrote a birthday letter; appeared in photographs with Epstein on a private plane  (Jan 30, 2026 DOJ EFTA release, reported by Variety)
• [alleged] Epstein helped Allen's daughter with college admission and helped arrange a White House visit for Allen  (2026 EFTA release, reported by Variety / AOL)
• [alleged] Received $3,134 on 2017-11-21; 'Photographed at Epstein party honoring Prince Andrew'  (EFTA01681865 Exhibit P)
• [alleged] May 2015 text with Epstein about a 'day museum White House trip.' Allen: 'With my rap sheet I'll never get past security'  (Dataset 9 emails/texts (per Entity Database v2.0, entry #50))
• [alleged] Scheduled for a lunch with Gates and Epstein, February/March 2013  (EFTA01905807)</t>
  </si>
  <si>
    <t xml:space="preserve">• 2010: Begins appearing as a guest at Epstein's townhouse, after the 2008 conviction
• 2013-02-05: Lunch with Gates and Epstein scheduled (EFTA01905807)
• 2015-05: Text exchange about a White House museum trip
• 2017-11-21: $3,134 payment (EFTA01681865)</t>
  </si>
  <si>
    <t xml:space="preserve">Emails from Soon-Yi Previn to Epstein said the #MeToo movement had 'gone too far.' Allen reportedly compared Epstein's Manhattan home to 'the castle of Dracula.' Do not conflate the separate Dylan Farrow allegations with any Epstein nexus. Presence in this dataset does not establish criminal conduct. Tier 4 records documented contact only.</t>
  </si>
  <si>
    <t xml:space="preserve">EFTA01681865, EFTA01905807</t>
  </si>
  <si>
    <t xml:space="preserve">https://variety.com/2026/film/news/epstein-files-woody-allen-soon-yi-bard-chalamet-1236653814/
https://www.aol.com/articles/epstein-emails-show-helped-arrange-003725567.html
https://en.wikipedia.org/wiki/List_of_people_named_in_the_Epstein_files</t>
  </si>
  <si>
    <t xml:space="preserve">⚠ No 2026 public statement located.</t>
  </si>
  <si>
    <t xml:space="preserve">P096</t>
  </si>
  <si>
    <t xml:space="preserve">'Barbro' (first name only, unidentified — EFTA00361732)</t>
  </si>
  <si>
    <t xml:space="preserve">T5 — Victim / Witness</t>
  </si>
  <si>
    <t xml:space="preserve">Unidentified person referenced in a scheduling email before a Jes Staley visit; the corpus infers young women may have been present, which if correct places her in the victim/witness category. Provisional.</t>
  </si>
  <si>
    <t xml:space="preserve">victim</t>
  </si>
  <si>
    <t xml:space="preserve">Unknown — unidentified.</t>
  </si>
  <si>
    <t xml:space="preserve">n/a</t>
  </si>
  <si>
    <t xml:space="preserve">• [alleged] Referenced in a scheduling email preceding a Staley visit: 'Jes Staley will come see you at 6pm...he is aware of Barbro and the BBB's...I let him know if he would like privacy, you can step out for 10.'  (EFTA00361732)</t>
  </si>
  <si>
    <t xml:space="preserve">• 2014-09-23: Referenced in the scheduling email.
• 2014-09-19: A 'Barbro' also appears on Lesley Groff's 'People To See' list (EFTA02098502, EFTA02097678); the corpus does not state whether this is the same person.</t>
  </si>
  <si>
    <t xml:space="preserve">TREAT THE VICTIM INFERENCE AS UNCONFIRMED. The corpus says the offer of 'privacy' and the option to 'step out for 10' SUGGESTS Staley was expected to have a private encounter; it does not establish it. 'Barbro' is a Scandinavian name; 'BBB's' is unidentified.</t>
  </si>
  <si>
    <t xml:space="preserve">EFTA00361732, EFTA02098502, EFTA02097678</t>
  </si>
  <si>
    <t xml:space="preserve">⚠ Tier and branch provisional; identity unknown; the victim inference is the corpus's, expressly hedged.</t>
  </si>
  <si>
    <t xml:space="preserve">P097</t>
  </si>
  <si>
    <t xml:space="preserve">'Doe 43' (Doe 43 v. Epstein et al)</t>
  </si>
  <si>
    <t xml:space="preserve">Pseudonymous plaintiff identified by the case caption used in the corpus.</t>
  </si>
  <si>
    <t xml:space="preserve">victim, witness</t>
  </si>
  <si>
    <t xml:space="preserve">Settled — the payment appears in the corpus's settlement-payments category ($7.5 million+ in settlement payments through the Deutsche Bank accounts).</t>
  </si>
  <si>
    <t xml:space="preserve">• [alleged] Plaintiff in Doe 43 v. Epstein et al. A $10,000 payment from Epstein's Deutsche Bank accounts to attorney Jeffrey S. Pop carried the reference 'Doe 43 v Epstein et al', within the corpus's settlement-payments category.  (EFTA01681865 Exhibit M)
• [alleged] Corpus reference (separate file): the lawsuit in which Epstein paid approximately $590,000 for Lesley Groff's legal defence — Steptoe &amp; Johnson ($490,001) and Scott J. Link ($100,000). The corpus asks whether this funding constituted witness tampering or obstruction.  (corpus: LESLEY_GROFF analysis (no EFTA number given for the fee figures))</t>
  </si>
  <si>
    <t xml:space="preserve">• 2010: Litigation period not specified in the corpus.</t>
  </si>
  <si>
    <t xml:space="preserve">Two corpus files refer to 'Doe 43' / 'Jane Doe 43' with the same case caption. They are recorded as one person on that basis, but the corpus never explicitly states the two references are the same individual.</t>
  </si>
  <si>
    <t xml:space="preserve">⚠ Two corpus references to 'Doe 43' treated as one person on the strength of an identical case caption; not explicitly confirmed by the corpus.</t>
  </si>
  <si>
    <t xml:space="preserve">P098</t>
  </si>
  <si>
    <t xml:space="preserve">'Individual-1' (SDNY prosecution memo, EFTA02731039)</t>
  </si>
  <si>
    <t xml:space="preserve">Pseudonymous witness identified only by this designation.</t>
  </si>
  <si>
    <t xml:space="preserve">witness</t>
  </si>
  <si>
    <t xml:space="preserve">• [alleged] Statement made BY this witness: 'recalled receiving calls from Leslie regarding scheduling.'  (EFTA02731039)</t>
  </si>
  <si>
    <t xml:space="preserve">EFTA02731039</t>
  </si>
  <si>
    <t xml:space="preserve">P099</t>
  </si>
  <si>
    <t xml:space="preserve">'Jane Doe 1000' (19-cv-10577, LJL)</t>
  </si>
  <si>
    <t xml:space="preserve">Pseudonymous plaintiff in one of four consolidated civil cases against the Epstein Estate.</t>
  </si>
  <si>
    <t xml:space="preserve">Plaintiff, 19-cv-10577 (SDNY); outcome not reflected in the released documents.</t>
  </si>
  <si>
    <t xml:space="preserve">• [alleged] Plaintiff in 19-cv-10577 (LJL) against the Epstein Estate; Maxwell is not named as a defendant in her case. Contents of her claims not detailed in the corpus.  (DS12 expansion analysis)</t>
  </si>
  <si>
    <t xml:space="preserve">• 2019-11: Case filed.
• 2020-05: Consolidated before Magistrate Judge Freeman; subject to Estate discovery stonewalling.</t>
  </si>
  <si>
    <t xml:space="preserve">P100</t>
  </si>
  <si>
    <t xml:space="preserve">'Jane Doe 102' (2009 civil complaint)</t>
  </si>
  <si>
    <t xml:space="preserve">Pseudonymous victim/plaintiff identifier used in the corpus.</t>
  </si>
  <si>
    <t xml:space="preserve">victim, trafficked, witness</t>
  </si>
  <si>
    <t xml:space="preserve">Unknown from the corpus files.</t>
  </si>
  <si>
    <t xml:space="preserve">• [alleged] Allegation made BY this plaintiff: she was 'initially approached at Trump's Maralago by Ghislaine Maxwell and recruited to be Maxwell and Epstein's underage sex slave', and Epstein's plane 'was used to have sex with underage girls'.  (EFTA01187465 p.7; EFTA00597791; EFTA01093549; EFTA01098984; EFTA01100638; EFTA01101060)</t>
  </si>
  <si>
    <t xml:space="preserve">• 2009: Civil complaint filed.</t>
  </si>
  <si>
    <t xml:space="preserve">One corpus file treats 'Jane Doe 102' as a litigation identifier associated with Virginia Roberts (Giuffre); another treats it as an entirely independent victim allegation not connected to the 3501.045 Protect Source. This record is kept separate from the Giuffre record rather than merged, because the corpus does not resolve the question.</t>
  </si>
  <si>
    <t xml:space="preserve">EFTA01187465, EFTA00597791, EFTA01093549, EFTA01098984, EFTA01100638, EFTA01101060</t>
  </si>
  <si>
    <t xml:space="preserve">⚠ Corpus conflict: 'Jane Doe 102' is used both as a litigation identifier for Virginia Roberts (Giuffre) and as a distinct 2009 plaintiff. Not merged. Requires resolution before publication.</t>
  </si>
  <si>
    <t xml:space="preserve">P101</t>
  </si>
  <si>
    <t xml:space="preserve">'Joan Doe'</t>
  </si>
  <si>
    <t xml:space="preserve">Pseudonymous declarant in the Katie Johnson litigation.</t>
  </si>
  <si>
    <t xml:space="preserve">• [withdrawn] A sworn declaration was filed in her name with the third Katie Johnson complaint; the corpus records the existence of the declaration but not its contents.  (SDNY 1:16-cv-07673)</t>
  </si>
  <si>
    <t xml:space="preserve">• 2016-09: Declaration filed.
• 2016-11-04: Case voluntarily dismissed without adjudication.</t>
  </si>
  <si>
    <t xml:space="preserve">P102</t>
  </si>
  <si>
    <t xml:space="preserve">'Juliette' (Juliette v. Epstein Estate, 1:19-cv-10479-ALC-DCF)</t>
  </si>
  <si>
    <t xml:space="preserve">Pseudonymous victim/plaintiff; identified by first name only in a Boies Schiller opposition brief as a South African national.</t>
  </si>
  <si>
    <t xml:space="preserve">Plaintiff in 1:19-cv-10479 (SDNY) against the Epstein Estate; outcome not reflected in the released documents. A USVI claims administration programme — precursor to the Epstein Victims' Compensation Program — was under development with ~69 claimants supporting it.</t>
  </si>
  <si>
    <t xml:space="preserve">The Epstein Estate, through Indyke and Kahn, asserted an 'Epstein is innocent' defence posture, requiring Boies Schiller to prove the underlying abuse.</t>
  </si>
  <si>
    <t xml:space="preserve">• [alleged] Allegation made BY Juliette: recruited in Cape Town in 2002 at age 20 by an American model who invited her to meet Epstein, calling him 'the King of America'.  (EFTA02731941)
• [alleged] Allegation made BY Juliette: Epstein told her he owned a modeling agency that could get her New York representation and that his close friend Les Wexner owned Victoria's Secret.  (EFTA02731941)
• [alleged] Allegation made BY Juliette: Lesley Groff called from New York and arranged her U.S. visa, passport and airline tickets; Epstein personally called her mother to assure her of Juliette's safety.  (EFTA02731941)
• [alleged] Allegation made BY Juliette: housed in a 66th Street apartment building 'where Epstein housed other models he was abusing', then moved almost immediately to the Virgin Islands where an unnamed co-conspirator instructed her to go to Epstein's room for a massage — 'rape begins here'; abused at the New York mansion, Florida home, Paris apartment and Virgin Islands from 2002 to 2004.  (EFTA02731941)
• [alleged] Allegation made BY Juliette: in Paris she stayed with Ghislaine Maxwell, was forced to be photographed nude for Epstein, and witnessed 'young females on call to sexually pleasure Epstein'.  (EFTA02731941)
• [alleged] Allegation made BY Juliette: in 2004 at Zorro Ranch, Epstein abused her and took her to meet Bill Richardson, and wanted her to board his plane to California to 'serve drinks to scientist friends'.  (EFTA02731941)
• [alleged] Allegation made BY Juliette: Epstein emailed her in 2016 asking if she knew another named woman (also a victim), and in June 2019, two months before his death, emailed asking her to send nude photographs.  (EFTA02731941)</t>
  </si>
  <si>
    <t xml:space="preserve">• 2002-09: Recruited in Cape Town during the Epstein/Clinton/Spacey/Tucker Africa trip (EFTA02731941; EFTA01661603).
• 2002: Trafficked across multiple properties through 2004.
• 2004: Final trip, Zorro Ranch; introduced to Bill Richardson.
• 2019-11-14: Files Juliette v. Epstein Estate, 1:19-cv-10479-ALC-DCF — the same day as the Noel/Thomas grand jury.
• 2020-04-14: Estate moves to dismiss (EFTA02732008).
• 2020-05-12: Boies Schiller opposition (EFTA02732143).
• 2020-05-22: Consolidated discovery conference: she has received 90 documents from an Estate holding 700,000, while producing 600,000+ herself (EFTA02732243).</t>
  </si>
  <si>
    <t xml:space="preserve">The corpus identifies her by first name only, as used in a public court filing; nothing identifying is added. The redacted identities in her account — a 'former high U.S. Government official', a 'famous actor' and a 'well-known comedian' dining with Epstein in Cape Town, and the American model recruiter — remain among the most significant outstanding identification gaps.</t>
  </si>
  <si>
    <t xml:space="preserve">EFTA02731941, EFTA02732008, EFTA02732143, EFTA02732243, EFTA01661603</t>
  </si>
  <si>
    <t xml:space="preserve">P103</t>
  </si>
  <si>
    <t xml:space="preserve">'Katie Johnson' (also litigated as 'Jane Doe')</t>
  </si>
  <si>
    <t xml:space="preserve">Pseudonym used in three public court filings; reproduced exactly as the corpus uses it.</t>
  </si>
  <si>
    <t xml:space="preserve">Three civil filings in 2016; two dismissed or withdrawn on procedural grounds, the third voluntarily dismissed Nov 4, 2016. No adjudication of the allegations occurred.</t>
  </si>
  <si>
    <t xml:space="preserve">Trump has denied all Epstein-related wrongdoing. The allegations were never tested.</t>
  </si>
  <si>
    <t xml:space="preserve">• [withdrawn] Allegation made BY this plaintiff: in summer 1994, at age 13, she was recruited at the Port Authority Bus Terminal and taken to four sex parties at Epstein's Manhattan residence, 9 E. 71st Street, where she was forcibly raped by both Trump and Epstein and Trump struck her 'in the face with his open hand.'  (Katie Johnson v. Trump and Epstein: 5:16-cv-00797 (CDCA); 1:16-cv-04642 (SDNY); 1:16-cv-07673 (SDNY); EFTA01433755)</t>
  </si>
  <si>
    <t xml:space="preserve">• 1994: Alleged conduct, summer 1994.
• 2016-04-26: Filed in the Central District of California (5:16-cv-00797); dismissed for technical deficiencies.
• 2016-06-20: Refiled in SDNY (1:16-cv-04642); withdrawn September 2016 without being served.
• 2016-09: Refiled in SDNY (1:16-cv-07673) with sworn declarations from the plaintiff, 'Tiffany Doe' and 'Joan Doe'.
• 2016-11-04: Voluntarily dismissed, four days before the presidential election; attorney Lisa Bloom states the plaintiff received multiple threats.</t>
  </si>
  <si>
    <t xml:space="preserve">EVIDENTIARY CAUTION. The allegations were never tested. The dismissal is not an adjudication either way. The corpus records both the threats claim and the dismissal timing without resolving either, and its 'oral sex to biting to striking' pattern table matching this case to the 3501.045 account is corpus analysis, not a finding by any investigating body.</t>
  </si>
  <si>
    <t xml:space="preserve">EFTA01433755</t>
  </si>
  <si>
    <t xml:space="preserve">P104</t>
  </si>
  <si>
    <t xml:space="preserve">'Tiffany Doe'</t>
  </si>
  <si>
    <t xml:space="preserve">Pseudonymous declarant/witness in the Katie Johnson litigation.</t>
  </si>
  <si>
    <t xml:space="preserve">As alleged in her own sworn declaration she personally witnessed the encounters; the filing describes her as an alleged Epstein party planner.</t>
  </si>
  <si>
    <t xml:space="preserve">Identity never established publicly.</t>
  </si>
  <si>
    <t xml:space="preserve">• [withdrawn] Statement made BY this declarant: she personally witnessed four sexual encounters between the plaintiff and Trump at the parties described in the complaint.  (Tiffany Doe declaration, SDNY 1:16-cv-07673)</t>
  </si>
  <si>
    <t xml:space="preserve">• 1994: Period of the alleged encounters she describes.
• 2016-09: Sworn declaration filed with the third Katie Johnson complaint.
• 2016-11-04: Case voluntarily dismissed; her declaration was never tested.</t>
  </si>
  <si>
    <t xml:space="preserve">Her described role — 'alleged Epstein party planner' — would place her operationally inside the network if true, but the corpus offers no independent evidence of her existence or identity. Recorded as pseudonymous and untested.</t>
  </si>
  <si>
    <t xml:space="preserve">P105</t>
  </si>
  <si>
    <t xml:space="preserve">'USPER' — the FD-1023 confidential human source (unidentified)</t>
  </si>
  <si>
    <t xml:space="preserve">Protected FBI source/witness whose identity has never been publicly established.</t>
  </si>
  <si>
    <t xml:space="preserve">The source had been to Epstein's residence and had specific knowledge of the Gates Foundation inner circle, per the corpus author's inference from the reporting document.</t>
  </si>
  <si>
    <t xml:space="preserve">Identity protected; never publicly identified.</t>
  </si>
  <si>
    <t xml:space="preserve">• [alleged] Reported BY this source: Epstein 'was a construct who was playing a role. Specifically, Epstein was running an Israeli state-sponsored technology collection and extortion operation.'  (EFTA01683612 (FBI FD-1023, SECRET//NOFORN, Dec 23, 2021))
• [alleged] Reported BY this source: Epstein's operation 'lured some of the most powerful and influential people in the world to his home, where they had the opportunity to have sex with young girls in lavish situations' and 'this would have been recorded in some way, which could be used to control and extort non-cooperators as needed in the future.'  (EFTA01683612)</t>
  </si>
  <si>
    <t xml:space="preserve">• 2021-12-23: FD-1023 filed by the FBI Los Angeles Field Office (EFTA01683612; import record EFTA01683869, case 500-NY-3027571).</t>
  </si>
  <si>
    <t xml:space="preserve">RELIABILITY LIMITS, stated by the corpus: a single confidential human source, not corroborated by a second source within the same document, and the source's reliability rating is not visible in the released version. The DOJ OIG reached the contrary conclusion that Epstein was not an intelligence asset (EFTA01658887). This is hypothesis material, not a finding.</t>
  </si>
  <si>
    <t xml:space="preserve">EFTA01683612, EFTA01683869, EFTA01658887</t>
  </si>
  <si>
    <t xml:space="preserve">P106</t>
  </si>
  <si>
    <t xml:space="preserve">'Victim-1' (SDNY prosecution memo, EFTA02731039)</t>
  </si>
  <si>
    <t xml:space="preserve">Pseudonymous victim identified only by this designation in EFTA02731039.</t>
  </si>
  <si>
    <t xml:space="preserve">• [alleged] Allegation made BY this victim: she 'would schedule appointments for the girls by phone with Epstein's assistant, Leslie.' Investigators identified 'Leslie' as Lesley Groff.  (EFTA02731039 pp.1-2)</t>
  </si>
  <si>
    <t xml:space="preserve">Distinct record from 'Victim 1 (EFTA02731082)'; the corpus uses different documents and different identifiers, and these are not merged.</t>
  </si>
  <si>
    <t xml:space="preserve">P107</t>
  </si>
  <si>
    <t xml:space="preserve">15-year-old brought to Little Saint James by Jean-Luc Brunel (SDNY prosecution memo EFTA02731082 pp.46-48)</t>
  </si>
  <si>
    <t xml:space="preserve">Unnamed minor victim recorded in the prosecution memo by age only.</t>
  </si>
  <si>
    <t xml:space="preserve">victim, trafficked</t>
  </si>
  <si>
    <t xml:space="preserve">Unknown. Brunel died in French pre-trial detention in February 2022; no US charge was ever brought.</t>
  </si>
  <si>
    <t xml:space="preserve">Brunel denied all allegations before his death.</t>
  </si>
  <si>
    <t xml:space="preserve">• [alleged] Allegation recorded in the prosecution memo: 'Brunel brings 15-year-old to island.'  (EFTA02731082 pp.46-48)</t>
  </si>
  <si>
    <t xml:space="preserve">• 2000: Date not given in the corpus.</t>
  </si>
  <si>
    <t xml:space="preserve">P108</t>
  </si>
  <si>
    <t xml:space="preserve">A.H. (victim identified by initials in Edwards v. Epstein)</t>
  </si>
  <si>
    <t xml:space="preserve">Victim identified by initials in the Edwards v. Epstein undisputed facts.</t>
  </si>
  <si>
    <t xml:space="preserve">Unknown. No prosecution; conduct immunized as to the co-conspirators by the NPA.</t>
  </si>
  <si>
    <t xml:space="preserve">• [alleged] Allegation concerning this victim: she was 'made to perform sex acts on Nadia Marcinkova in Epstein's presence.'  (EFTA00081180 paras.13,27)</t>
  </si>
  <si>
    <t xml:space="preserve">• 2000: Conduct recorded in the Edwards v. Epstein undisputed facts; dates not given.</t>
  </si>
  <si>
    <t xml:space="preserve">EFTA00081180</t>
  </si>
  <si>
    <t xml:space="preserve">P109</t>
  </si>
  <si>
    <t xml:space="preserve">Adult Victim 1 (EFTA02731082, p.28)</t>
  </si>
  <si>
    <t xml:space="preserve">Numbered adult victim in the SDNY prosecution memo; her account places Lesley Groff in immediate physical proximity to an assault in progress.</t>
  </si>
  <si>
    <t xml:space="preserve">Unknown. Numbered identifier only.</t>
  </si>
  <si>
    <t xml:space="preserve">• [alleged] Allegation made BY this victim: she traveled with Epstein and Maxwell, 'including on their trip to Africa with President Clinton,' and was 'raped approximately a dozen times over three years.'  (EFTA02731082 p.28)
• [alleged] Allegation made BY this victim: 'Leslie Groff and Maxwell coordinated travel logistics. Groff was right outside a closed door when Epstein forced victim to perform oral sex.'  (EFTA02731082 p.28)</t>
  </si>
  <si>
    <t xml:space="preserve">• 2002: The Africa trip is dated ~2002 elsewhere in the corpus; three-year period of repeated rape (EFTA02731082 p.28).</t>
  </si>
  <si>
    <t xml:space="preserve">Directly relevant to the redacted Section IV.D charging analysis of Lesley Groff, which was never made public and produced no charge.</t>
  </si>
  <si>
    <t xml:space="preserve">P110</t>
  </si>
  <si>
    <t xml:space="preserve">Adult Victim 4 (EFTA02731082) — the corpus label is 'THE STALEY/BLACK VICTIM'</t>
  </si>
  <si>
    <t xml:space="preserve">Numbered adult victim in the SDNY prosecution memo; the single most evidentially consequential victim account in the corpus.</t>
  </si>
  <si>
    <t xml:space="preserve">Represented by Jeanne Christensen / Wigdor LLP for civil claims against 'Black/Staley' (EFTA00156644). No charges against either man; no comparable civil settlement documented for Staley.</t>
  </si>
  <si>
    <t xml:space="preserve">Unknown. Name redacted across the prosecution memo, all four PROMINENT NAMES briefing variants, the DANY chain and the prosecution timeline (Category A redaction).</t>
  </si>
  <si>
    <t xml:space="preserve">n/a (she is the accuser). Staley denies wrongdoing generally; no charges were filed against him or Black.</t>
  </si>
  <si>
    <t xml:space="preserve">• [alleged] Allegation made BY this victim: 'Epstein instructed [victim] to provide a massage to Jes Staley in Epstein's New York residence. [Victim] attempted to give him an ordinary massage, but he forced [victim] to touch his genitals and then raped [victim].' She complained to Epstein, who said he left it to her and Staley to decide whether to engage in sex.  (EFTA02731082 p.32; EFTA01649143 p.4; EFTA01656173 p.17)
• [alleged] Allegation made BY this victim: Epstein instructed her to massage Leon Black at the same residence; Black began initiating sexual contact and she ran out of the room. Epstein 'laughed it off as a funny incident.'  (EFTA02731082 p.32)
• [alleged] Allegation made BY this victim: she was recruited through the 'Mary Small' Virginia dance/gymnastics studio pipeline.  (EFTA00156644)
• [alleged] Allegation made BY this victim: she witnessed directed evidence destruction — a redacted person was told to 'throw away vibrators and nude photographs of young women' from Epstein's basement when he went to jail — and was told by Epstein and another not to speak to the press.  (EFTA02731082 pp.31-32)
• [alleged] Public statement made BY this victim, February 2025: 'I WAS BEING TRAFFICKED AND RAPED BY EPSTEIN AND [redacted] AND JES STALEY!'  (EFTA00143557)</t>
  </si>
  <si>
    <t xml:space="preserve">• 2007: Saw Jean-Luc Brunel in the US Virgin Islands (EFTA02731082 pp.30-32).
• 2008: During Epstein's incarceration, witnessed the directed disposal of vibrators and nude photographs (EFTA02731082 p.31).
• 2011: Both the Black and Staley incidents occurred 'in or around 2011 or 2012' (EFTA02731082 p.32).
• 2019-10: Interviewed by FBI/SDNY (EFTA01649143 p.4).
• 2019-12-19: Her account documented at p.32 of the SDNY prosecution memo; JPMorgan produced compelled Staley-Epstein communications from the period (fn.61, p.67).
• 2023-06-28: DANY briefing to SDNY: 'do not doubt her allegations against JE and LB. They believe she was also abused by Staley. They have not found any independent corroboration.' (EFTA00156644)
• 2025-02: Publicly names Staley on social media (EFTA00143557).</t>
  </si>
  <si>
    <t xml:space="preserve">Do not merge with 'the lent out victim' — a possible identity overlap is not established by the corpus and is not asserted here. DANY did not challenge her credibility but noted the absence of independent corroboration beyond the JPMorgan timeline evidence.</t>
  </si>
  <si>
    <t xml:space="preserve">EFTA02731082, EFTA01649143, EFTA01656173, EFTA01656152, EFTA01656198, EFTA01660622, EFTA00156644, EFTA00143557, EFTA02731662</t>
  </si>
  <si>
    <t xml:space="preserve">P111</t>
  </si>
  <si>
    <t xml:space="preserve">Anne-Claire Le Jeune</t>
  </si>
  <si>
    <t xml:space="preserve">Victim advocate recorded under the victim branch by the corpus; SHE IS NOT HERSELF IDENTIFIED AS A VICTIM.</t>
  </si>
  <si>
    <t xml:space="preserve">Not stated in the corpus.</t>
  </si>
  <si>
    <t xml:space="preserve">• [alleged] No allegation. On Brunel's death she expressed 'frustration and bitterness over not being able to obtain justice, just as for the victims of Epstein.'  (EFTA00174043)</t>
  </si>
  <si>
    <t xml:space="preserve">• 2022-02-19: Statement on Brunel's death in custody.</t>
  </si>
  <si>
    <t xml:space="preserve">She is an advocate, not a victim. Recorded under the victim branch only because the corpus places her there.</t>
  </si>
  <si>
    <t xml:space="preserve">EFTA00174043</t>
  </si>
  <si>
    <t xml:space="preserve">P112</t>
  </si>
  <si>
    <t xml:space="preserve">Annie Farmer</t>
  </si>
  <si>
    <t xml:space="preserve">Identified victim who testified under her own name at Ghislaine Maxwell's 2021 criminal trial and is a public survivor advocate.</t>
  </si>
  <si>
    <t xml:space="preserve">never charged (victim-witness)</t>
  </si>
  <si>
    <t xml:space="preserve">Participated in the Epstein Victims' Compensation Program (amount unverified/confidential). Outcome of 19-cv-10475 not reflected in the released documents.</t>
  </si>
  <si>
    <t xml:space="preserve">Alive. Psychologist and survivor advocate; among the most prominent public voices in the 2026 accountability campaign.</t>
  </si>
  <si>
    <t xml:space="preserve">n/a (she is the accuser).</t>
  </si>
  <si>
    <t xml:space="preserve">• [court-found] Allegation made BY Annie Farmer: at age 16 in spring 1996 she was flown to Epstein's New Mexico ranch (Zorro Ranch) for what she was told was a retreat for academically gifted students, where Maxwell participated in normalizing sexual contact and she was assaulted by Maxwell and Epstein.  (DOJ-OGR-00010536; Maxwell trial testimony Dec 2021)</t>
  </si>
  <si>
    <t xml:space="preserve">• 1996: Age 16: flown to Zorro Ranch, New Mexico; assaulted (DOJ-OGR-00010536).
• 2019-11: Files civil case 19-cv-10475 (LGS) — the only one of four consolidated Estate cases naming Maxwell as a defendant for her specific claims.
• 2021-12: Testifies at the Maxwell criminal trial — one of four accusers, the only one to testify without a pseudonym; testimony contributed to conviction (DOJ-OGR-00020385).
• 2026-01/02: Publicly criticizes DOJ redaction failures in the EFTA release: 'There's just no explanation for how it could've been done so poorly.'
• 2026-07-17: Among survivors who met DAG Todd Blanche at Sen. Tillis's insistence; afterwards called him 'abrasive, condescending, and intentionally noncommittal.'
• 2026-07: Urged the Senate to reject Blanche's Attorney General nomination.</t>
  </si>
  <si>
    <t xml:space="preserve">https://www.cnbc.com/2026/07/17/epstein-victims-todd-blanche-doj-trump-tillis.html
https://www.axios.com/2026/07/21/epstein-files-probe-doj-blanche-tillis-gates
https://www.newsnationnow.com/politics/epstein-survivors-todd-blanche-gaslighting/</t>
  </si>
  <si>
    <t xml:space="preserve">P113</t>
  </si>
  <si>
    <t xml:space="preserve">E.W. (victim identified by initials in Edwards v. Epstein)</t>
  </si>
  <si>
    <t xml:space="preserve">Unknown. The conduct described was immunized as to Marcinkova by the 2007 NPA; no prosecution.</t>
  </si>
  <si>
    <t xml:space="preserve">• [alleged] Allegation concerning this victim: 'E.W. was to perform sex acts on Nadia Marcinkova (Epstein's live-in sex slave) in Epstein's presence.'  (EFTA00081180 paras.11,13)</t>
  </si>
  <si>
    <t xml:space="preserve">P114</t>
  </si>
  <si>
    <t xml:space="preserve">FBI 302 victim who 'felt like there were hidden cameras there'</t>
  </si>
  <si>
    <t xml:space="preserve">Unnamed victim whose FBI statement forms one strand of the surveillance-infrastructure question.</t>
  </si>
  <si>
    <t xml:space="preserve">• [alleged] Statement made BY this victim in an FBI interview: she 'felt like there were hidden cameras there.'  (EFTA01689279)</t>
  </si>
  <si>
    <t xml:space="preserve">• 2019: Undated in the corpus.</t>
  </si>
  <si>
    <t xml:space="preserve">This records a subjective impression, not a finding that cameras existed.</t>
  </si>
  <si>
    <t xml:space="preserve">EFTA01689279</t>
  </si>
  <si>
    <t xml:space="preserve">P115</t>
  </si>
  <si>
    <t xml:space="preserve">French victim — first testimony (EFTA00079597, Karin Models, 1980s)</t>
  </si>
  <si>
    <t xml:space="preserve">Unnamed victim whose testimony is recorded in the French MLAT material.</t>
  </si>
  <si>
    <t xml:space="preserve">No trial. French prosecutors REOPENED their probe into Epstein associates including Brunel on February 20, 2026.</t>
  </si>
  <si>
    <t xml:space="preserve">• [alleged] Allegation made BY this victim: she introduced herself to Karin Models at approximately 18 in the 1980s; Brunel arranged a 'photo session' at his home where she was drugged and raped. 'At the time Jean-Luc Brunel used to bring in girls from the East, particularly young girls.'  (EFTA00079597 pp.4-5)</t>
  </si>
  <si>
    <t xml:space="preserve">• 1985: The assault described (1980s).
• 2019-08-23: Paris Public Prosecutor opens a preliminary investigation.
• 2022-02-19: Brunel dies in custody; the French case closes without trial.</t>
  </si>
  <si>
    <t xml:space="preserve">Kept as a separate record from the other two French testimonies because the corpus records them as distinct accounts, not collectively.</t>
  </si>
  <si>
    <t xml:space="preserve">https://www.democracynow.org/2026/2/20/headlines/french_prosecutors_reopen_probe_into_epstein_associates_including_model_scout_jean_luc_brunel</t>
  </si>
  <si>
    <t xml:space="preserve">P116</t>
  </si>
  <si>
    <t xml:space="preserve">French victim — second testimony (EFTA00079597, Karin Models, 1980s)</t>
  </si>
  <si>
    <t xml:space="preserve">No trial. French prosecutors reopened the probe into Epstein associates including Brunel on February 20, 2026.</t>
  </si>
  <si>
    <t xml:space="preserve">• [alleged] Allegation made BY this victim: she met Brunel through Karin Models, was invited to his apartment, given a cocktail, lost consciousness and woke in a bathrobe with bruises.  (EFTA00079597 pp.4-5)</t>
  </si>
  <si>
    <t xml:space="preserve">• 1985: The 1980s Karin Models period.
• 2022-02-19: Brunel dies in custody; the French case closes without trial.</t>
  </si>
  <si>
    <t xml:space="preserve">P117</t>
  </si>
  <si>
    <t xml:space="preserve">French victim — third testimony (EFTA00079597, Paris Planning and Karin Models, 1980s)</t>
  </si>
  <si>
    <t xml:space="preserve">Unnamed victim whose testimony is recorded in the French MLAT material; the sole basis for the Gerald Marie reference in the corpus.</t>
  </si>
  <si>
    <t xml:space="preserve">No trial. French probe reopened February 20, 2026.</t>
  </si>
  <si>
    <t xml:space="preserve">• [alleged] Allegation made BY this victim: she met Brunel through Paris Planning and Karin Models; Brunel and Gerald Marie took her to the countryside where Brunel attempted rape.  (EFTA00079597 pp.4-5)</t>
  </si>
  <si>
    <t xml:space="preserve">• 1985: The 1980s Karin Models / Paris Planning period.
• 2022-02-19: Brunel dies in custody; the French case closes without trial.</t>
  </si>
  <si>
    <t xml:space="preserve">The attempted rape in the quoted testimony is attributed to Brunel; Gerald Marie's role as stated is transporting the victim with Brunel.</t>
  </si>
  <si>
    <t xml:space="preserve">P118</t>
  </si>
  <si>
    <t xml:space="preserve">Haley Robson</t>
  </si>
  <si>
    <t xml:space="preserve">Identified victim who has spoken publicly under her own name; recruited at 16 and then coerced into recruiting other girls — Tier 5 with documented dual status.</t>
  </si>
  <si>
    <t xml:space="preserve">victim, trafficked, recruiter, witness</t>
  </si>
  <si>
    <t xml:space="preserve">She knew what she was being asked to do; the corpus and verified reporting treat her recruitment activity as coerced conduct arising from her own trafficking, not as independent culpability. She has described fearing 'something bad would happen' if she disobeyed.</t>
  </si>
  <si>
    <t xml:space="preserve">Participated in victim compensation; amount unverified.</t>
  </si>
  <si>
    <t xml:space="preserve">Alive. Survivor advocate. Widely recognized as a victim who was made into a recruiter — a textbook instance of the pyramid model.</t>
  </si>
  <si>
    <t xml:space="preserve">n/a. Her own public statement: 'The guilt will never go away.'</t>
  </si>
  <si>
    <t xml:space="preserve">• [alleged] Allegation made BY Robson: she was recruited at age 16 in 2002, gave one massage, and was then paid $200 per girl to bring others — the pyramid recruitment model. Estimated 8-24 girls (some reporting says 'over 20').  (2007 SDFL prosecution memo; Robson recorded phone call; Palm Beach PD file)
• [alleged] Recorded phone call in the Palm Beach investigation in which she said 'The more you do, the more you get paid' and offered to schedule a girl and her sister. Palm Beach police originally treated her as a recruiter.  (Palm Beach PD recorded call; 2007 prosecution memo)</t>
  </si>
  <si>
    <t xml:space="preserve">• 2002: Recruited at age 16; gave one massage; began recruiting other girls at $200 per referral.
• 2005-2006: Palm Beach PD investigation records her recorded call; she is initially treated as a recruiter rather than a victim.
• 2026: Public advocacy for full EFTA release; letter to Congress urging release, amplified by Rep. Ro Khanna's office; Khanna's State of the Union guest.</t>
  </si>
  <si>
    <t xml:space="preserve">DUAL STATUS. Robson was recruited at 16 and then paid to recruit others. The corpus and verified reporting treat coerced recruitment as itself a product of her trafficking. Her dual status has been weaponized: a Fox News piece framed her as having 'recruited over 20 underage girls' without the coercion context. She is a Tier 5 victim; is_operator is set true only to record the documented recruitment function, not to impute culpability.</t>
  </si>
  <si>
    <t xml:space="preserve">https://www.cbsnews.com/news/jeffrey-epstein-accuser-sex-trafficking-haley-robson/
https://khanna.house.gov/media/press-releases/release-rep-khannas-statement-epstein-survivor-haley-robsons-letter-urging
https://www.aol.com/articles/epstein-survivors-speak-ahead-house-144300686.html</t>
  </si>
  <si>
    <t xml:space="preserve">P119</t>
  </si>
  <si>
    <t xml:space="preserve">Jane Doe #2 (53-page sealed federal indictment, approximately 14 years old)</t>
  </si>
  <si>
    <t xml:space="preserve">Pseudonymous minor victim named in the drafted sealed indictment.</t>
  </si>
  <si>
    <t xml:space="preserve">• [alleged] Allegation in the sealed indictment concerning this victim: Sarah Kellen 'did lead Jane Doe #2, who was then approximately 14 years old, upstairs to Jeffrey Epstein's bedroom' and 'took nude photographs of Jane Doe #2.'  (EFTA01659794 (Overt Act 2); EFTA01186070)</t>
  </si>
  <si>
    <t xml:space="preserve">• 2007-05: The indictment naming her was completed and shelved.
• 2008-06-30: The NPA activated and terminated the federal case; no prosecution.</t>
  </si>
  <si>
    <t xml:space="preserve">May or may not be the same person as 'Jane Doe 2' in the CVRA litigation — the corpus does not state this and the records are not merged.</t>
  </si>
  <si>
    <t xml:space="preserve">EFTA01659794, EFTA01186070</t>
  </si>
  <si>
    <t xml:space="preserve">P120</t>
  </si>
  <si>
    <t xml:space="preserve">Jane Doe 1 (USVI v. JPMorgan complaint, 1:22-cv-10019-JSR)</t>
  </si>
  <si>
    <t xml:space="preserve">Pseudonymous victim identifier used in the USVI complaint against JPMorgan.</t>
  </si>
  <si>
    <t xml:space="preserve">• [alleged] Referenced on pages 86 and 121 of the USVI complaint 'regarding Jane Doe 1 and obstruction charges'. The corpus flags the underlying allegations as unread.  (EFTA00162121 pp.86,121)</t>
  </si>
  <si>
    <t xml:space="preserve">• 2023-01-13: USVI v. JPMorgan complaint filed.</t>
  </si>
  <si>
    <t xml:space="preserve">Kept separate from the CVRA 'Jane Doe 1' record; the corpus gives no basis for treating them as the same person.</t>
  </si>
  <si>
    <t xml:space="preserve">EFTA00162121</t>
  </si>
  <si>
    <t xml:space="preserve">P121</t>
  </si>
  <si>
    <t xml:space="preserve">Jane Doe 1 and Jane Doe 2 (CVRA petitioners, Jane Doe v. United States, 9:08-cv-80736)</t>
  </si>
  <si>
    <t xml:space="preserve">Pseudonymous victims recorded jointly because the corpus refers to them as a pair.</t>
  </si>
  <si>
    <t xml:space="preserve">Their CVRA litigation established that the 2007 NPA violated the Crime Victims' Rights Act.</t>
  </si>
  <si>
    <t xml:space="preserve">Their litigation is what forced the NPA text into the public record. No further status stated.</t>
  </si>
  <si>
    <t xml:space="preserve">• [court-found] Petitioners in the CVRA motion that forced the NPA's exact immunity language into the public record.  (EFTA01186070)
• [court-found] They were among the victims kept in the dark: the NPA was kept secret from all victims, who were sent letters saying the case was 'under investigation' nine months after the deal was signed.  (EFTA01186086; EFTA01186070)</t>
  </si>
  <si>
    <t xml:space="preserve">• 2007-09-24: NPA signed without their knowledge (EFTA01186086).
• 2008: CVRA litigation filed (9:08-cv-80736).
• 2011: Bruce Reinhart files the declaration in their case later admitted by the government to be false (EFTA00068215).
• 2019: Federal courts ruled the government violated the Crime Victims' Rights Act; the NPA was never voided.</t>
  </si>
  <si>
    <t xml:space="preserve">EFTA01186070, EFTA01186086, EFTA00068215</t>
  </si>
  <si>
    <t xml:space="preserve">P122</t>
  </si>
  <si>
    <t xml:space="preserve">Leon Black Victim 1 (DS12; the primary Wigdor LLP client)</t>
  </si>
  <si>
    <t xml:space="preserve">Unnamed adult victim; the only Black victim SDNY ever interviewed, and the source of the forensically examined journals.</t>
  </si>
  <si>
    <t xml:space="preserve">Civil track via Wigdor LLP; JPMC settlement fund proceedings before Judge Rakoff, recorded as pending as of Aug 2024. NDA status unresolved.</t>
  </si>
  <si>
    <t xml:space="preserve">Unknown. No criminal charges were ever brought against Leon Black. 'The case file was released to the public before it was ever acted upon.'</t>
  </si>
  <si>
    <t xml:space="preserve">n/a (she is the accuser). Black denies all allegations of sexual misconduct and says Epstein 'duped' him.</t>
  </si>
  <si>
    <t xml:space="preserve">• [alleged] Allegation made BY this victim: 7-8 years of violent sexual assault by Leon Black, with signature violence — biting of the genitalia that intensified with her pain.  (EFTA02731526; EFTA02731576)
• [alleged] Allegation made BY this victim, by text to Black: 'Leon. You sexually harassed me, sex trafficked me, raped me, and eventually blacklisted me... The least thing you can do is to give me that document that I was forced to sign under duress and wasn't able to read before signing.'  (EFTA02731576)
• [alleged] Allegation made BY this victim: she was forced to sign an NDA under duress and later denied access to the document.  (EFTA02731576)
• [alleged] Documentary record supporting her account: wire payments to her from three accounts — 'Leon J. Black', 'J. Black Trust' and 'E Trust' — of $15K to $167K per wire, running through 2021; almost 700 pages of bank statements provided to SDNY.  (EFTA02731526)
• [court-found] Her handwritten journals (ages 16-19, written in code while she was being trafficked, naming 30+ abusers) were forensically examined by court order: gel pen throughout, 'no evidence found for recent fabrication.'  (EFTA02731724; EFTA02731420; EFTA02731465; EFTA02731512)
• [alleged] Medical corroboration: OB-GYN records of 2011 and 2019 documenting sexual assault injuries; an April 2021 note mentions abuse.  (EFTA02731662)
• [alleged] Allegation of witness intimidation against her: Black contacted her after learning of her statements — 'I cannot imagine that you would make these statements...they're not true and you must appreciate how damaging they would be to me and my reputation.'  (EFTA02731525)</t>
  </si>
  <si>
    <t xml:space="preserve">• 2011: OB-GYN record notes injuries from sexual assault (EFTA02731662).
• 2015-11: 'E Trust' payments to her begin; run through 2021 (EFTA02731526).
• 2019-10: Her text to Black — 'you raped me' (EFTA02731576).
• 2021-04-22: Her attorney Jeanne Christensen first contacts the SDNY AUSA about Black (EFTA02731684).
• 2021-05-18: Interviewed by SDNY — 'the only victim we interviewed' (EFTA02731699; EFTA02731771).
• 2021-05-27: Her bank statements sent to SDNY (EFTA02731526).
• 2021-05-28: AUSA: 'I'm not inclined to open' — ten days after her interview (EFTA02731578).
• 2024-03-15: Testifies before Judge Rakoff, who is 'inclined to sustain the award' and orders forensic examination of her notebooks (EFTA02731724).
• 2024-04-15: Forensic examination completes; journals authenticated (EFTA02731724).
• 2024-08-01: Writes a personal letter to the court — the last communication in the DS12 chain (EFTA02731734).</t>
  </si>
  <si>
    <t xml:space="preserve">CONTESTED EVIDENCE, and this caveat must travel with the record. In April 2026 Judge Jessica Clarke (SDNY) sanctioned her counsel in Doe v. Black and found the plaintiff in that case had falsified sonogram images in personal journals; the falsified entries are barred from trial and the jury will be instructed about them. Case-terminating sanctions were DENIED and the underlying rape claim proceeds. status_verification.md flags that the project's Tier 1 expansion based on 'forensically authenticated victim journals' must be audited against that ruling — specifically which journals, whose authentication, and whether any overlap exists with the Doe v. Black material. The corpus does not state whether this victim and the Doe v. Black plaintiff are the same person; do not assume it either way.</t>
  </si>
  <si>
    <t xml:space="preserve">EFTA02731526, EFTA02731576, EFTA02731525, EFTA02731662, EFTA02731724, EFTA02731420, EFTA02731465, EFTA02731512, EFTA02731684, EFTA02731699, EFTA02731771, EFTA02731578, EFTA02731734</t>
  </si>
  <si>
    <t xml:space="preserve">https://reason.com/volokh/2026/04/25/judge-finds-epstein-related-plaintiff-lies-spoliation-and-lawyer-misconduct-in-rape-lawsuit-against-investor-leon-black/</t>
  </si>
  <si>
    <t xml:space="preserve">⚠ Relationship (if any) between this victim and the Doe v. Black plaintiff sanctioned-counsel proceeding is not established in the corpus.</t>
  </si>
  <si>
    <t xml:space="preserve">P123</t>
  </si>
  <si>
    <t xml:space="preserve">Leon Black Victim 2 (DS12; the independent 2001 corroborating witness)</t>
  </si>
  <si>
    <t xml:space="preserve">Unnamed adult victim whose account independently corroborated the signature violence described by Victim 1.</t>
  </si>
  <si>
    <t xml:space="preserve">Unknown. No charges brought.</t>
  </si>
  <si>
    <t xml:space="preserve">n/a (she is the accuser). Black denies all allegations of sexual misconduct.</t>
  </si>
  <si>
    <t xml:space="preserve">• [alleged] Allegation made BY this victim: assaulted in 2001 at Epstein's Manhattan townhouse — 'he violently bit down on her vulva, labia and clitoris. The biting would get harder and his teeth clamp down more when she yelled out in pain.'  (EFTA02731729)
• [alleged] Allegation made BY this victim: she met Black at Epstein's townhouse while giving massages; he called her afterwards and gave her $5,000 in cash.  (EFTA02731729)</t>
  </si>
  <si>
    <t xml:space="preserve">• 2001: The assault at Epstein's Manhattan townhouse (EFTA02731729).
• 2021-08-09: Contacts attorney Jeanne Christensen, 'completely independent of Victim 1' (EFTA02731729).
• 2021-08-17: SDNY delays interviewing her until after the Maxwell trial; the AUSA's recorded reason: 'I'd like to do that so it doesn't seem like we are just rebuffing the victim' (EFTA02731618).</t>
  </si>
  <si>
    <t xml:space="preserve">Her significance is corroborative and independent. Christensen to SDNY: 'it is too abnormal to make up... There is nothing publicly out there about the details of his specific sex acts with our client, so there is no way she could know.' The corpus's finding: when a second victim independently corroborated the identical signature violence, SDNY's response was explicitly about optics.</t>
  </si>
  <si>
    <t xml:space="preserve">EFTA02731729, EFTA02731618</t>
  </si>
  <si>
    <t xml:space="preserve">P124</t>
  </si>
  <si>
    <t xml:space="preserve">Leon Black Victim 3 (DS12; a minor, 16 at the time of the assault)</t>
  </si>
  <si>
    <t xml:space="preserve">Unnamed minor victim; the most severe uncharged allegation in the Black track, with medical corroboration.</t>
  </si>
  <si>
    <t xml:space="preserve">Unknown. No charges brought against Black.</t>
  </si>
  <si>
    <t xml:space="preserve">• [alleged] Allegation made BY this victim: she was trafficked from Virginia to Epstein's NYC townhouse by a female recruiter and, at 16, 'Black used adult sex toys in victim's rectum and vagina. Victim felt severe pinching in her vagina and began bleeding from her rectum; Black and others at Epstein's house would not take her to the doctor and instead flew her out of NY the next day.'  (EFTA02731488; EFTA02731662)
• [alleged] Allegation made BY this victim: Epstein and Black referred to her as 'being 10'.  (EFTA02731488)
• [alleged] Allegation made BY this victim: from 2001 to the end of 2004 she was 'trafficked by [recruiter], sex with at least 25 different men'; she was introduced to Ghislaine Maxwell at age 17.  (EFTA02731488; EFTA02731636)
• [alleged] Medical corroboration: records from 2011-2023 document ongoing trauma; a 2019 OB-GYN record documented sexual assault injuries.  (EFTA02731662)</t>
  </si>
  <si>
    <t xml:space="preserve">• 2001: Trafficking begins; continues to end of 2004 (EFTA02731488).
• 2023-02-28: DANY reports her as a new cooperating witness 'trafficked by Maxwell and Epstein' (EFTA02731593).
• 2023-05-26: Christensen details her account to SDNY (EFTA02731488).
• 2023-06-09: DANY briefs SDNY with her testimony (EFTA02731662; EFTA02731737).
• 2023-07-22: SDNY Civil Rights Unit formally declines, citing 'no evidence of overlap with Maxwell' — seven weeks after her account reached SDNY and one day after Black's $62.5M USVI settlement became public (EFTA02731660).</t>
  </si>
  <si>
    <t xml:space="preserve">The CRU's stated ground for declining is contradicted by the file it was issued from: DANY's own victim testimony explicitly describes Maxwell introducing this minor victim to Epstein's operation. Her initial attorney was Adam Horowitz, who referred her onward. The female recruiter who trafficked her remains unidentified and uncharged.</t>
  </si>
  <si>
    <t xml:space="preserve">EFTA02731488, EFTA02731662, EFTA02731593, EFTA02731636, EFTA02731660, EFTA02731737</t>
  </si>
  <si>
    <t xml:space="preserve">P125</t>
  </si>
  <si>
    <t xml:space="preserve">Maria Farmer</t>
  </si>
  <si>
    <t xml:space="preserve">Identified victim and witness who has spoken publicly under her own name; filed the first known criminal complaint against Epstein and Maxwell in 1996.</t>
  </si>
  <si>
    <t xml:space="preserve">Plaintiff against the U.S. federal government / FBI for failure to protect; status as of July 2026 unverified.</t>
  </si>
  <si>
    <t xml:space="preserve">Alive. Artist and survivor advocate; plaintiff against the federal government. Her case is the strongest documented instance of institutional failure in the record.</t>
  </si>
  <si>
    <t xml:space="preserve">• [alleged] Allegation made BY Maria Farmer: she was sexually assaulted by Epstein and Maxwell at the Wexner compound, New Albany, Ohio, in 1996.  (FBI complaint (released Dec 2025); NYPD report; Dataset 8)
• [alleged] Allegation made BY Maria Farmer: after she reported to NYPD and the FBI on Aug 26, 1996, Maxwell threatened her — 'I know you go to West Side Highway all the time. While you're out there, just be really careful because there are a lot of ways to die there.'  (Maria Farmer complaint; Entity Database v2.0)
• [alleged] Claim made BY Maria Farmer (opinion, recorded as such): Epstein 'never in a trillion years would have taken his own life. He was an intelligence asset.' Recorded in an internal SDNY memo documenting her public statements.  (EFTA00097901)</t>
  </si>
  <si>
    <t xml:space="preserve">• 1996-08-26: Files the first known criminal complaint against Epstein and Maxwell with NYPD and the FBI — a full decade before Epstein's first arrest. No action taken (EFTA00097901).
• 2025-12-19: CNN reports she was 'vindicated by the Epstein files release,' which surfaced her 1996 complaint and documented the Bureau's failure to act.
• 2026: Plaintiff in a suit against the U.S. federal government / FBI for failing to protect her and other victims after her 1996 report; status unverified.</t>
  </si>
  <si>
    <t xml:space="preserve">Her 'intelligence asset' statement is her opinion, recorded as such. The corpus notes it is consistent with the Acosta 'leave it alone' account but calls that consistency, not corroboration.</t>
  </si>
  <si>
    <t xml:space="preserve">EFTA00097901</t>
  </si>
  <si>
    <t xml:space="preserve">https://www.cnn.com/2025/12/19/politics/maria-farmer-epstein-survivor-complaint
https://www.nbcnews.com/news/us-news/jeffrey-epstein-accuser-sues-federal-government-protect-victims-rcna209967
https://www.justsecurity.org/132230/fbi-stand-down-directive-epstein-timeline/</t>
  </si>
  <si>
    <t xml:space="preserve">P126</t>
  </si>
  <si>
    <t xml:space="preserve">NTOC Complainant 1 (FBI NTOC compilation, EFTA01660651)</t>
  </si>
  <si>
    <t xml:space="preserve">Complainant identified only by number in the FBI NTOC compilation; reports on behalf of another person.</t>
  </si>
  <si>
    <t xml:space="preserve">Outcome unknown. EFTA01660651 records the dispatch but not the outcome of any interview.</t>
  </si>
  <si>
    <t xml:space="preserve">Trump denies all Epstein-related wrongdoing.</t>
  </si>
  <si>
    <t xml:space="preserve">• [alleged] Second-hand report made BY this complainant: approximately 35 years earlier (~1990) a friend — female, age 13-14, New Jersey — was 'forced to perform oral sex on TRUMP', 'bit TRUMP', after which 'TRUMP hit her face.' The FBI dispatched the Washington Field Office for a follow-up interview.  (EFTA01660651)</t>
  </si>
  <si>
    <t xml:space="preserve">• 1990: The incident described.
• 2025-08-06: Report captured in the NTOC compilation; Washington Field Office dispatched.</t>
  </si>
  <si>
    <t xml:space="preserve">SECOND-HAND ACCOUNT. The corpus offers two readings — secondhand knowledge of the same 3501.045 incident, or an independent victim with the same pattern — and does not resolve between them. The pattern-matching is the corpus's own analysis, framed by the corpus itself as 'potential corroboration', not established corroboration.</t>
  </si>
  <si>
    <t xml:space="preserve">P127</t>
  </si>
  <si>
    <t xml:space="preserve">NTOC Complainant 1's friend (the direct alleged victim, unnamed)</t>
  </si>
  <si>
    <t xml:space="preserve">Unnamed alleged victim reported second-hand in the NTOC compilation; recorded separately because she is a distinct person.</t>
  </si>
  <si>
    <t xml:space="preserve">Unknown; may never have been interviewed.</t>
  </si>
  <si>
    <t xml:space="preserve">• [alleged] Allegation reported second-hand about this person: female, age 13-14, New Jersey; alleged to have been forced to perform oral sex on Trump, to have bitten him, and to have been hit in the face.  (EFTA01660651)</t>
  </si>
  <si>
    <t xml:space="preserve">• 1990: The incident described.</t>
  </si>
  <si>
    <t xml:space="preserve">Reported second-hand. Nothing identifying is recorded.</t>
  </si>
  <si>
    <t xml:space="preserve">P128</t>
  </si>
  <si>
    <t xml:space="preserve">NTOC Complainant 3 (FBI NTOC compilation, EFTA01660651)</t>
  </si>
  <si>
    <t xml:space="preserve">Complainant identified only by number; the FBI made an adverse credibility finding that must accompany the record.</t>
  </si>
  <si>
    <t xml:space="preserve">Claim assessed and rejected by the FBI as not credible.</t>
  </si>
  <si>
    <t xml:space="preserve">• [denied] Claim made BY this complainant: a sex trafficking ring operated at Trump Golf Course, Rancho Palos Verdes, CA (~1995-1996), with Maxwell named as madam and Trump, Epstein and Robin Leach named as clients. THE FBI DEEMED THIS NOT CREDIBLE — the complainant had 3 police incidents requiring psychiatric evaluations.  (EFTA01660651)</t>
  </si>
  <si>
    <t xml:space="preserve">• 1995: Alleged period, ~1995-1996.
• 2025-08-06: Captured in the NTOC compilation and rated not credible.</t>
  </si>
  <si>
    <t xml:space="preserve">The FBI's adverse credibility finding, and its stated basis, must accompany any use of this entry. This allegation should not be relied on. It is the sole corpus source for the allegation against Robin Leach.</t>
  </si>
  <si>
    <t xml:space="preserve">P129</t>
  </si>
  <si>
    <t xml:space="preserve">NTOC Complainant 5 (FBI NTOC compilation, EFTA01660651)</t>
  </si>
  <si>
    <t xml:space="preserve">Complainant identified only by number.</t>
  </si>
  <si>
    <t xml:space="preserve">Unknown; no follow-up recorded.</t>
  </si>
  <si>
    <t xml:space="preserve">• [alleged] Report made BY this complainant, an adult woman: she was 'invited by Trump to a party for prostitutes' at Mar-a-Lago. No assault is alleged in this entry.  (EFTA01660651)</t>
  </si>
  <si>
    <t xml:space="preserve">• 2000: Undated in the corpus.</t>
  </si>
  <si>
    <t xml:space="preserve">Single-line entry in the NTOC compilation; no corroboration offered and no assault alleged.</t>
  </si>
  <si>
    <t xml:space="preserve">P130</t>
  </si>
  <si>
    <t xml:space="preserve">NTOC Complainant 6 (limousine driver, EFTA01660651)</t>
  </si>
  <si>
    <t xml:space="preserve">Witness identified only by complainant number.</t>
  </si>
  <si>
    <t xml:space="preserve">• [alleged] Report made BY this complainant: in approximately 1995, while driving a limousine for Trump to DFW Airport, he was 'a few seconds from pulling the limousine over' due to what Trump was saying on the phone, during which Trump 'repeatedly stated the name Jeffrey.'  (EFTA01660651)
• [alleged] Third-hand report made BY this complainant: his ex-girlfriend's daughter later told him Trump raped her, as did Epstein.  (EFTA01660651)</t>
  </si>
  <si>
    <t xml:space="preserve">• 1995: The limousine incident.
• 2025-08-06: Report captured in the NTOC compilation.</t>
  </si>
  <si>
    <t xml:space="preserve">The rape allegation within this entry is THIRD-HAND as reported and must not be presented as a direct account.</t>
  </si>
  <si>
    <t xml:space="preserve">P131</t>
  </si>
  <si>
    <t xml:space="preserve">NTOC Complainant 6's ex-girlfriend's daughter (unnamed alleged victim)</t>
  </si>
  <si>
    <t xml:space="preserve">Unnamed alleged victim reported third-hand; recorded separately because she is a distinct person.</t>
  </si>
  <si>
    <t xml:space="preserve">Unknown; no independent record.</t>
  </si>
  <si>
    <t xml:space="preserve">• [alleged] Allegation reported third-hand: she told Complainant 6 that Trump raped her, as did Epstein.  (EFTA01660651)</t>
  </si>
  <si>
    <t xml:space="preserve">• 1995: Undated.</t>
  </si>
  <si>
    <t xml:space="preserve">Reported third-hand. Nothing identifying is recorded.</t>
  </si>
  <si>
    <t xml:space="preserve">P132</t>
  </si>
  <si>
    <t xml:space="preserve">NTOC Complainant 7 (FBI NTOC compilation, EFTA01660651)</t>
  </si>
  <si>
    <t xml:space="preserve">• [alleged] Report made BY this complainant: in approximately 1987 a friend 'woke up naked and sore in a Trump Plaza hotel room with $300 on the bed, with a flash memory of Trump's face.' The friend subsequently went missing; remains were found years later and DNA was inconclusive.  (EFTA01660651)</t>
  </si>
  <si>
    <t xml:space="preserve">• 1987: The incident described.
• 2025-08-06: Captured in the NTOC compilation.</t>
  </si>
  <si>
    <t xml:space="preserve">SECOND-HAND, and the corpus is explicit that the underlying recollection was a 'flash memory'. The missing-person and inconclusive-DNA facts are recorded without any finding connecting them to the alleged incident.</t>
  </si>
  <si>
    <t xml:space="preserve">P133</t>
  </si>
  <si>
    <t xml:space="preserve">NTOC Complainant 7's friend (unnamed, deceased)</t>
  </si>
  <si>
    <t xml:space="preserve">Unnamed alleged victim reported second-hand; recorded separately because she is a distinct person.</t>
  </si>
  <si>
    <t xml:space="preserve">Deceased per this account. No resolution; DNA inconclusive.</t>
  </si>
  <si>
    <t xml:space="preserve">• [alleged] Allegation reported second-hand: she woke naked and sore in a Trump Plaza hotel room with $300 on the bed and a 'flash memory of Trump's face'; she subsequently went missing.  (EFTA01660651)</t>
  </si>
  <si>
    <t xml:space="preserve">• 1987: Incident and disappearance.
• 2000: Remains found years later; DNA inconclusive.</t>
  </si>
  <si>
    <t xml:space="preserve">Reported second-hand; nothing identifying is recorded, and no finding connects the remains to the alleged incident.</t>
  </si>
  <si>
    <t xml:space="preserve">P134</t>
  </si>
  <si>
    <t xml:space="preserve">Separate FD-302 victim introduced to Donald Trump (~1999-2000), EFTA00158636</t>
  </si>
  <si>
    <t xml:space="preserve">Unnamed victim identified in the corpus only by document number.</t>
  </si>
  <si>
    <t xml:space="preserve">• [alleged] Statement made BY this victim: Epstein and Maxwell introduced her to Donald Trump when she was approximately 20-22 years old. 'TRUMP was polite to [victim].' NO misconduct by Trump is alleged in this account.  (EFTA00158636 p.4)</t>
  </si>
  <si>
    <t xml:space="preserve">• 1999: The introduction, ~1999-2000.</t>
  </si>
  <si>
    <t xml:space="preserve">PRECISION POINT: this document establishes an introduction and records that Trump was polite. It does not allege assault and must not be aggregated with the assault accounts. The corpus uses it only to establish that Epstein introduced multiple women to Trump.</t>
  </si>
  <si>
    <t xml:space="preserve">EFTA00158636</t>
  </si>
  <si>
    <t xml:space="preserve">P135</t>
  </si>
  <si>
    <t xml:space="preserve">The 'blond beautiful woman' (3501.045, unidentified)</t>
  </si>
  <si>
    <t xml:space="preserve">Unidentified witness present after the alleged assault; recorded because the corpus carries her as a distinct person.</t>
  </si>
  <si>
    <t xml:space="preserve">Never identified.</t>
  </si>
  <si>
    <t xml:space="preserve">• [alleged] No allegation. 'II recalled a blond beautiful woman approaching her at some point that day after her interaction with TRUMP. The woman said, let me give you a tip little girl about your breasts, wear a bra every night.'  (EFTA02858481 p.8)</t>
  </si>
  <si>
    <t xml:space="preserve">• 1981: Same day as the alleged Trump assault (~1981-1984).</t>
  </si>
  <si>
    <t xml:space="preserve">The corpus author's identification of her as Ivana Trump is expressly marked '[SPECULATION — STRENGTHENED]' with the caveat that no document in the corpus names Ivana and the victim herself does not name her. That identification must not be reported as a finding.</t>
  </si>
  <si>
    <t xml:space="preserve">P136</t>
  </si>
  <si>
    <t xml:space="preserve">The 'lent out' victim (EFTA02731082, Section II.E, pp.54-60)</t>
  </si>
  <si>
    <t xml:space="preserve">Unnamed victim whose account occupies the memo's longest single victim section, with its own credibility assessment.</t>
  </si>
  <si>
    <t xml:space="preserve">Unknown. Name redacted throughout.</t>
  </si>
  <si>
    <t xml:space="preserve">n/a (she is the accuser). Glenn Dubin, Prince Andrew and Alan Dershowitz have all denied allegations against them; none was charged.</t>
  </si>
  <si>
    <t xml:space="preserve">• [alleged] Allegation made BY this victim: Maxwell taught her how to recruit younger girls on shopping trips — 'I know this really nice guy who likes to help people out... you can make some money.'  (EFTA02731082 p.55)
• [alleged] Allegation made BY this victim: Maxwell told her she was going to meet a prince and 'should make him happy and do the exact same things for him that she did for Epstein because the prince was a good friend of Maxwell's.'  (EFTA02731082 p.57)
• [alleged] Allegation made BY this victim: Maxwell directed her to engage in sex acts with Glenn Dubin, telling her she 'had to do to Glen what [she] did for Epstein'; Eva Dubin was present during a directed massage.  (EFTA02731082 p.57)
• [alleged] Allegation made BY this victim naming Alan Dershowitz. The memo records that the claim was first raised in 2014 and was not in her memoir, and records the credibility concerns alongside the corroboration.  (EFTA02731082 pp.57,59,60)</t>
  </si>
  <si>
    <t xml:space="preserve">• 2000s: The directed encounters described in her account (EFTA02731082 p.57).
• 2014: Year the Dershowitz claim was first raised, per the memo's credibility assessment (EFTA02731082 p.57).
• 2019-12-19: Her account documented across pp.54-60 with a dedicated credibility assessment; no charges resulted against anyone she named.</t>
  </si>
  <si>
    <t xml:space="preserve">The memo records BOTH corroboration (a photograph; Maxwell's admission of introducing her to Prince Andrew) AND credibility concerns; both directions are recorded here because the corpus records both. Reporter Sharon Churcher's documented 'coaching' of her memoir (EFTA02731082 p.59) is part of the memo's credibility assessment. Her account is largely unredacted (pp.54-60) while the government's assessment of what to do about it (pp.74-85) is not.</t>
  </si>
  <si>
    <t xml:space="preserve">P137</t>
  </si>
  <si>
    <t xml:space="preserve">The 'ten women' represented by one lawyer — 7+ unidentified Leon Black victims (collective)</t>
  </si>
  <si>
    <t xml:space="preserve">Collective record for the Black victims beyond the three profiled; the corpus states the number but gives no identifiers.</t>
  </si>
  <si>
    <t xml:space="preserve">7+ remain unidentified. No charges on behalf of any of them.</t>
  </si>
  <si>
    <t xml:space="preserve">n/a. Black denies all allegations of sexual misconduct.</t>
  </si>
  <si>
    <t xml:space="preserve">• [alleged] Statement by their counsel Jeanne Christensen: 'one lawyer represents ten women that he sexually assaulted.'  (EFTA02731484)</t>
  </si>
  <si>
    <t xml:space="preserve">• 2023-07-21: The statement, made the day the $62.5M USVI settlement became public (EFTA02731484).</t>
  </si>
  <si>
    <t xml:space="preserve">The corpus attributes the inability to count unique victims directly to the redaction pattern: victim names are redacted consistently (appropriate Category A) but this makes cross-referencing across documents impossible.</t>
  </si>
  <si>
    <t xml:space="preserve">EFTA02731484</t>
  </si>
  <si>
    <t xml:space="preserve">P138</t>
  </si>
  <si>
    <t xml:space="preserve">The 19 Jane Does named in the 53-page sealed indictment and drafted grand jury presentation (collective)</t>
  </si>
  <si>
    <t xml:space="preserve">Collective pseudonymous record; the corpus provides no individual identifiers for the 19.</t>
  </si>
  <si>
    <t xml:space="preserve">Victims were not consulted or informed; 40+ identified victims were labelled 'prostitutes' in the state charges. The CVRA litigation later established the NPA violated their rights.</t>
  </si>
  <si>
    <t xml:space="preserve">None of these victims obtained a federal prosecution. Only fragments of the 53-page sealed indictment have ever been disclosed.</t>
  </si>
  <si>
    <t xml:space="preserve">• [alleged] 19 Jane Does and 22+ counts were prepared in the Operation Leap Year grand jury presentation; the 53-page sealed indictment named 19 Jane Does and included Sarah Kellen as a defendant with specific overt acts.  (EFTA01731290; EFTA01659794; EFTA01186070)</t>
  </si>
  <si>
    <t xml:space="preserve">• 2007-05: Indictment naming them completed and shelved; AUSA Villafana: 'I have had an 82-page pros memo and 53-page indictment sitting on the shelf since May.'
• 2007-09-24: NPA signed instead; kept secret from all victims.
• 2008-06-30: Epstein's state guilty plea activates the NPA and terminates the federal case.</t>
  </si>
  <si>
    <t xml:space="preserve">The full sealed indictment — naming specific defendants, overt acts and victim counts — would establish exactly what crimes were immunized. It has never been produced.</t>
  </si>
  <si>
    <t xml:space="preserve">EFTA01731290, EFTA01659794, EFTA01186070, EFTA01186086, EFTA01659943</t>
  </si>
  <si>
    <t xml:space="preserve">P139</t>
  </si>
  <si>
    <t xml:space="preserve">The 24 numbered minor victims and 14 numbered adult victims of the SDNY prosecution memo (collective)</t>
  </si>
  <si>
    <t xml:space="preserve">Collective record for the numbered victim cohort the corpus counts but does not individuate beyond the specific numbered records held separately here.</t>
  </si>
  <si>
    <t xml:space="preserve">One conviction resulted from the entire memo (Ghislaine Maxwell). 'No other individual documented in the prosecution memo was ever charged.'</t>
  </si>
  <si>
    <t xml:space="preserve">• [alleged] Allegations made BY 38 victims: 24 numbered minor victims aged 13-17 at the time of abuse (pp.2-24) and 14 numbered adult victims (pp.28-35), presented collectively to SDNY leadership.  (EFTA02731082)</t>
  </si>
  <si>
    <t xml:space="preserve">• 2019-12-19: All 38 accounts presented in the SDNY prosecution memo.</t>
  </si>
  <si>
    <t xml:space="preserve">The core asymmetry of the corpus, in its own words: 'the public can read every detail of the victims' trauma (pages 2-60 are largely unredacted) while the government's decision about what to do with that evidence is completely hidden.' This collective record does not merge the individually numbered victims recorded separately.</t>
  </si>
  <si>
    <t xml:space="preserve">P140</t>
  </si>
  <si>
    <t xml:space="preserve">The 25+ women labelled 'Ostensible Foreign Models' by Deutsche Bank (collective, EFTA01681865 Exhibit I)</t>
  </si>
  <si>
    <t xml:space="preserve">Collective record; the label is Deutsche Bank's own and none of the women is named in the corpus.</t>
  </si>
  <si>
    <t xml:space="preserve">Unknown as individuals; none is named in the corpus.</t>
  </si>
  <si>
    <t xml:space="preserve">• [alleged] Documentary record: $850,000+ in payments through Epstein's Deutsche Bank accounts to 25+ women the bank itself labelled 'Ostensible Foreign Models', routed to Sberbank, Alfa Bank and Tinkoff (Russia), Swedbank (Lithuania/Latvia), Tatra Bank (Slovakia), BNP Paribas (France), Citibank, Bank of America and JP Morgan, with stated rationales of 'Tuition', 'Immigration Services', 'Rent', or none at all.  (EFTA01681865 Exhibit I)
• [alleged] Tuition paid on their behalf to 20+ schools including The New School ($98,000+ for a 'Russian model' who was also a Butterfly Trust beneficiary), Glion Institute of Higher Education ($42,113 and $42,469 for women 'described as Russian models'), and language schools in Hong Kong and Spain.  (EFTA01681865 Exhibit R)
• [alleged] Deutsche Bank's monitoring response to an alert on a payment to a Russian model: 'Once this type of activity is normal for this client it is not deemed suspicious.' The bank's entire compliance instruction was reduced to verifying, using internet searches, that any woman involved in Epstein-related transactions was at least 18.  (EFTA00151495)</t>
  </si>
  <si>
    <t xml:space="preserve">• 2013: The 2013-2018 Deutsche Bank relationship period.</t>
  </si>
  <si>
    <t xml:space="preserve">The corpus does NOT establish that all of these women were victims. It establishes that the bank itself doubted the stated modeling rationale and that its only screening was an age check. Branch is recorded as victim because the corpus groups them under Tier 5, but the classification is provisional.</t>
  </si>
  <si>
    <t xml:space="preserve">EFTA01681865, EFTA00151495</t>
  </si>
  <si>
    <t xml:space="preserve">⚠ Victim status of these 25+ women is not established by the corpus; the grouping reflects the bank's own suspicion, not a finding.</t>
  </si>
  <si>
    <t xml:space="preserve">P141</t>
  </si>
  <si>
    <t xml:space="preserve">The 3501.045 victim's brother (unnamed in the corpus)</t>
  </si>
  <si>
    <t xml:space="preserve">Potential corroborating witness named in the FD-302s but not identified in the corpus text.</t>
  </si>
  <si>
    <t xml:space="preserve">Unknown. Never interviewed so far as the corpus records.</t>
  </si>
  <si>
    <t xml:space="preserve">• [alleged] No allegation. Recorded as a potential corroborating witness: he and his mother collected the victim from police custody in Savannah after the concert incident.  (EFTA02858481 p.7)</t>
  </si>
  <si>
    <t xml:space="preserve">• 1982: Collects his sister from police custody in Savannah, GA.</t>
  </si>
  <si>
    <t xml:space="preserve">P142</t>
  </si>
  <si>
    <t xml:space="preserve">The 3501.045 victim's mother (unnamed in the corpus)</t>
  </si>
  <si>
    <t xml:space="preserve">Victim of the blackmail scheme per her daughter's account; the only person in the entire Hilton Head fact pattern who served time.</t>
  </si>
  <si>
    <t xml:space="preserve">She attempted to 'buy back the photos and secrets', so on her daughter's account she knew of the existence of the explicit photographs.</t>
  </si>
  <si>
    <t xml:space="preserve">convicted: federal embezzlement (~1983-1986), approximately 2 years served, federal prison, Columbia, South Carolina — per her daughter's account. Independently verifiable via PACER; NOT YET VERIFIED.</t>
  </si>
  <si>
    <t xml:space="preserve">Loss of real estate licence implied by the Real Estate Commission referral; imprisonment.</t>
  </si>
  <si>
    <t xml:space="preserve">• [alleged] Allegation made BY the 3501.045 victim about her mother: the mother was blackmailed by Epstein using explicit photographs of the daughter and 'tried to buy back the photos and secrets.'  (EFTA02858481 pp.2-3)
• [alleged] Allegation made BY the 3501.045 victim: Atkins, Epstein and possibly the accountant 'Cecil' assisted the mother in 'fixing' her real estate books so she could embezzle funds to pay Epstein, then turned her in to the Real Estate Commission using the accurate records — a deliberate reversal after she had paid.  (EFTA02858481 pp.2-3)
• [alleged] Her federal embezzlement conviction and ~2-year sentence in Columbia, SC are recorded by her daughter as directly caused by the Epstein/Atkins blackmail scheme.  (EFTA02858491 p.1)</t>
  </si>
  <si>
    <t xml:space="preserve">• 1979: Places the babysitting advertisement in Sea Pines rental packets through which Epstein made contact.
• 1981: Blackmail, payments and book-fixing (early 1980s).
• 1983: Convicted of federal embezzlement; serves ~2 years in federal prison, Columbia, SC (~1983-1986); unable to pay restitution.</t>
  </si>
  <si>
    <t xml:space="preserve">She is the only person in this fact pattern who served a prison sentence, and on the account in the record she was a victim of the blackmail that produced the conviction. The corpus rates internal corroboration as strong but flags this as its single most important outstanding verification (Open Question #6, priority CRITICAL): 'if confirmed, it corroborates the entire Hilton Head framework.'</t>
  </si>
  <si>
    <t xml:space="preserve">⚠ Conviction not yet verified against PACER (Federal District of South Carolina, Columbia, ~1983-1986).</t>
  </si>
  <si>
    <t xml:space="preserve">P143</t>
  </si>
  <si>
    <t xml:space="preserve">The 62 women named on the CD-ROM marked 'CONFIDENTIAL — COMPREHENSIVE CHART', seized at 22 Avenue Foch (collective)</t>
  </si>
  <si>
    <t xml:space="preserve">Collective record; none of the 62 is named in the corpus.</t>
  </si>
  <si>
    <t xml:space="preserve">Unknown. The corpus's own summation: 'The 62 names on that CD-ROM, the 4,500 emails, the decades of victims — all of it resolves to nothing.' MC2's full client roster has never been disclosed.</t>
  </si>
  <si>
    <t xml:space="preserve">• [alleged] French police seized a CD-ROM marked 'CONFIDENTIAL — COMPREHENSIVE CHART' containing an Excel file with 62 women's names during the September 23, 2019 search of Epstein's Paris apartment. The same search recovered 'many photographs of young and even very young women' and '30 videos with shooting dates between 2011 and 2015, showing young girls, sometimes dancing in an apartment.'  (EFTA00079597)</t>
  </si>
  <si>
    <t xml:space="preserve">• 2019-09-23: Seizure at 22 Avenue Foch, Paris.
• 2022-02-19: Brunel dies in custody; the French case closes.
• 2026-02-20: French prosecutors reopen the probe into Epstein associates including Brunel.</t>
  </si>
  <si>
    <t xml:space="preserve">The corpus does not establish that all 62 were victims; the open question is expressly 'How many were legitimate clients vs. trafficking victims?'</t>
  </si>
  <si>
    <t xml:space="preserve">P144</t>
  </si>
  <si>
    <t xml:space="preserve">The assistant Darren Indyke told not to talk to police (unnamed)</t>
  </si>
  <si>
    <t xml:space="preserve">Witness subjected to an attorney's silencing instruction, recorded as a distinct person by the corpus.</t>
  </si>
  <si>
    <t xml:space="preserve">staff</t>
  </si>
  <si>
    <t xml:space="preserve">employee, witness, admin</t>
  </si>
  <si>
    <t xml:space="preserve">Not stated.</t>
  </si>
  <si>
    <t xml:space="preserve">Indyke testified to the House Oversight Committee that he did not know about the abuse.</t>
  </si>
  <si>
    <t xml:space="preserve">• [alleged] Allegation about what was done TO her: '[Indyke] told [the assistant] that if she ever needed help she should not talk to the police and that she should call him instead.'  (EFTA02731082 p.41)</t>
  </si>
  <si>
    <t xml:space="preserve">• 2005: The instruction; undated in the corpus.</t>
  </si>
  <si>
    <t xml:space="preserve">May be the same person as 'Redacted Subject C' of the prosecution memo; the corpus does not say and the records are not merged. The instruction itself is fully legible and unredacted — only the government's assessment of it is hidden, and no obstruction charge was ever filed.</t>
  </si>
  <si>
    <t xml:space="preserve">P145</t>
  </si>
  <si>
    <t xml:space="preserve">The four non-victim witnesses in the SDNY prosecution memo, including the house manager who saw 'hundreds' of girls (collective)</t>
  </si>
  <si>
    <t xml:space="preserve">Witness cohort recorded collectively by the corpus.</t>
  </si>
  <si>
    <t xml:space="preserve">witness, employee</t>
  </si>
  <si>
    <t xml:space="preserve">The house manager is recorded as having seen 'hundreds' of girls at the property.</t>
  </si>
  <si>
    <t xml:space="preserve">• [alleged] 'Non-victim witness interviews | 4 witnesses including house manager who saw hundreds of girls.'  (EFTA02731082 pp.36-38)</t>
  </si>
  <si>
    <t xml:space="preserve">• 2019-12-19: Documented in the SDNY prosecution memo.</t>
  </si>
  <si>
    <t xml:space="preserve">Do not merge with the Juan Alessi record. The corpus discusses Alessi at p.37, within this page range, but never states that he is the house manager who saw 'hundreds'.</t>
  </si>
  <si>
    <t xml:space="preserve">P146</t>
  </si>
  <si>
    <t xml:space="preserve">The seven redacted female $5,000,000 bequest beneficiaries of the Epstein 2014 Trust (collective, unidentified)</t>
  </si>
  <si>
    <t xml:space="preserve">Provisional and contested. The corpus reads the redaction pattern — names hidden, amounts visible — as consistent with protecting the identities of possible victims who received financial settlements.</t>
  </si>
  <si>
    <t xml:space="preserve">Unidentified.</t>
  </si>
  <si>
    <t xml:space="preserve">• [alleged] No allegation. Seven bequest positions of $5,000,000 each ($35,000,000 total), all redacted, all identified as female by the surviving text 'if she survives me'.  (EFTA01266380; EFTA01266403 sections 2.3.A.1-2, 4-6, 8-9)</t>
  </si>
  <si>
    <t xml:space="preserve">• 2014-11-18: Present in the original trust with names redacted.
• 2015-05-01: Present in the Amendment and Restatement with names redacted.</t>
  </si>
  <si>
    <t xml:space="preserve">TIER CONTESTED. One corpus file assigns Tier 5 on the redaction-pattern reading; another assigns Tier 3 because these positions sit in the same bequest bracket the corpus calls 'Inner circle... the most to lose and the most knowledge' alongside Indyke, Kahn, Shuliak and Brunel. The corpus's own open question is unresolved: 'Are these known victims who received settlements? Former girlfriends? Accomplices?' A separate corpus passage speculates that Jes Staley may be among the redacted names in these positions, which contradicts the all-female reading; that contradiction is unresolved. This is also the sharpest asymmetric-redaction finding in the trust documents: Indyke's name is never redacted while seven beneficiaries in the same bracket are.</t>
  </si>
  <si>
    <t xml:space="preserve">⚠ Tier 5 vs Tier 3 conflict inside the corpus.
⚠ Corpus contradiction: all seven described as female, yet the same file speculates Staley may be among them.</t>
  </si>
  <si>
    <t xml:space="preserve">P147</t>
  </si>
  <si>
    <t xml:space="preserve">The woman named in Epstein's 2016 email to 'Juliette' (also a victim, unnamed)</t>
  </si>
  <si>
    <t xml:space="preserve">Unnamed victim referenced in the Juliette complaint.</t>
  </si>
  <si>
    <t xml:space="preserve">• [alleged] No allegation against her. In 2016 Epstein emailed Juliette asking if she knew this woman, whom the complaint also identifies as a victim.  (EFTA02731941)</t>
  </si>
  <si>
    <t xml:space="preserve">• 2016: The email.</t>
  </si>
  <si>
    <t xml:space="preserve">EFTA02731941</t>
  </si>
  <si>
    <t xml:space="preserve">P148</t>
  </si>
  <si>
    <t xml:space="preserve">Unidentified NTOC complainants (remainder of the 15+, EFTA01660651)</t>
  </si>
  <si>
    <t xml:space="preserve">Collective record; no individual identifiers exist in the corpus.</t>
  </si>
  <si>
    <t xml:space="preserve">• [alleged] 'Multiple complainants referencing the Katie Johnson lawsuit or general conspiracy content (lower evidentiary value).'  (EFTA01660651)</t>
  </si>
  <si>
    <t xml:space="preserve">• 2025-08-06: NTOC compilation.</t>
  </si>
  <si>
    <t xml:space="preserve">The corpus itself down-rates these entries.</t>
  </si>
  <si>
    <t xml:space="preserve">P149</t>
  </si>
  <si>
    <t xml:space="preserve">Unknown Jane Doe (19-cv-10476, PGG)</t>
  </si>
  <si>
    <t xml:space="preserve">Plaintiff, 19-cv-10476 (SDNY); outcome not reflected.</t>
  </si>
  <si>
    <t xml:space="preserve">• [alleged] Plaintiff in 19-cv-10476 (PGG) against the Epstein Estate; Maxwell not a defendant. As of May 22, 2020 she had received either 3 documents (one clawed back) or 1 document from an Estate holding 700,000.  (EFTA02732243)</t>
  </si>
  <si>
    <t xml:space="preserve">• 2019-11: Filed.
• 2020-05-22: Discovery conference documents near-total non-production by the Estate.</t>
  </si>
  <si>
    <t xml:space="preserve">EFTA02732243</t>
  </si>
  <si>
    <t xml:space="preserve">P150</t>
  </si>
  <si>
    <t xml:space="preserve">Unnamed model Jeff Fuller declined to sponsor, March 2015</t>
  </si>
  <si>
    <t xml:space="preserve">Unnamed woman recorded in MC2 correspondence; the corpus does not establish victim status.</t>
  </si>
  <si>
    <t xml:space="preserve">• [alleged] MC2's 15% owner Jeff Fuller wrote to Epstein's financial manager: 'Jean Luc no longer wants to sponsor [her] in light of recent circumstances' — which the corpus reads as suggesting awareness of MC2's true purpose.  (EFTA01746651)</t>
  </si>
  <si>
    <t xml:space="preserve">• 2015-03: Sponsorship refused.</t>
  </si>
  <si>
    <t xml:space="preserve">The bracketed pronoun is the corpus's own redaction of her identity. Victim status is not established.</t>
  </si>
  <si>
    <t xml:space="preserve">EFTA01746651</t>
  </si>
  <si>
    <t xml:space="preserve">P151</t>
  </si>
  <si>
    <t xml:space="preserve">Unnamed model paid $36,049.30 whose JPMorgan account was opened 'at the request of Epstein' (2003-2013)</t>
  </si>
  <si>
    <t xml:space="preserve">Unnamed woman recorded in the JPMorgan due diligence material; the corpus does not establish victim status.</t>
  </si>
  <si>
    <t xml:space="preserve">• [alleged] 'Epstein paid at least $36,049.30 to a model whose account JPMorgan opened at the request of Epstein.'  (EFTA02810334 p.61)</t>
  </si>
  <si>
    <t xml:space="preserve">• 2003: The 2003-2013 payment period.</t>
  </si>
  <si>
    <t xml:space="preserve">EFTA02810334</t>
  </si>
  <si>
    <t xml:space="preserve">P152</t>
  </si>
  <si>
    <t xml:space="preserve">Unnamed model whose MC2 contract and recommendation letters were discussed, January 2014</t>
  </si>
  <si>
    <t xml:space="preserve">• [alleged] Her MC2 contract and transfer from ONE Management were discussed in correspondence, noting Brunel's assistant was 'collecting draft recommendation letters'.  (EFTA01938768)</t>
  </si>
  <si>
    <t xml:space="preserve">• 2014-01: The email exchange.</t>
  </si>
  <si>
    <t xml:space="preserve">Possibly the same person as the model Jeff Fuller declined to sponsor in March 2015 — the corpus does not state this and the records are not merged. Victim status is not established by the corpus.</t>
  </si>
  <si>
    <t xml:space="preserve">EFTA01938768</t>
  </si>
  <si>
    <t xml:space="preserve">P153</t>
  </si>
  <si>
    <t xml:space="preserve">Unnamed victims cited in EFTA02731082 in connection with Lesley Groff's scheduling role (collective)</t>
  </si>
  <si>
    <t xml:space="preserve">Collective record; the corpus does not differentiate these victims by identifier.</t>
  </si>
  <si>
    <t xml:space="preserve">Unknown individually. Groff's charging analysis (Section IV.D, p.85) is entirely redacted and no charge resulted.</t>
  </si>
  <si>
    <t xml:space="preserve">• [alleged] Allegations made BY these victims: one whom Epstein called his 'best little cocksucker' in front of Groff and 'one of my girls', for whom Groff was directed to buy white underwear at Victoria's Secret; one forced to perform oral sex in Epstein's office while Groff stood outside the closed door; one whose massage appointments and travel Groff scheduled and who described Groff working in an office inside Epstein's New York residence; and a witness who described the massage routine as 'ordinarily scheduled by Leslie Groff.'  (EFTA02731082 pp.25-26, 28, 30, 46)</t>
  </si>
  <si>
    <t xml:space="preserve">• 2001: Across the 2001-2019 period covered by the memo.</t>
  </si>
  <si>
    <t xml:space="preserve">P154</t>
  </si>
  <si>
    <t xml:space="preserve">Victim 1 (EFTA02731082, pp.2-3)</t>
  </si>
  <si>
    <t xml:space="preserve">Numbered minor victim in the SDNY prosecution memo; victim-turned-recruiter as a minor, which the corpus rules keep at Tier 5.</t>
  </si>
  <si>
    <t xml:space="preserve">• [alleged] Allegation made BY this victim: recruited at a New York City club at age 14; performed 'at least dozens' of massages; recruited 'dozens of girls'; coordinated appointments with Lesley Groff by phone.  (EFTA02731082 pp.2-3)</t>
  </si>
  <si>
    <t xml:space="preserve">• 2000s: Recruited at age 14; abuse and recruitment continued over an unspecified period (EFTA02731082 pp.2-3).</t>
  </si>
  <si>
    <t xml:space="preserve">Victim-turned-recruiter as a minor. The corpus's tier rules expressly place such victims at Tier 5 and the recruiter role carries no implication of culpability. is_operator is left false here (unlike Victim 9, Robson and Marcinkova) because the corpus records no scale, payment or independent function for her recruiting; a reviewer may reasonably decide otherwise.</t>
  </si>
  <si>
    <t xml:space="preserve">P155</t>
  </si>
  <si>
    <t xml:space="preserve">Victim 24 (EFTA02731082, pp.27-28)</t>
  </si>
  <si>
    <t xml:space="preserve">Numbered minor victim in the SDNY prosecution memo; evidentiarily significant on the knowledge-of-age element.</t>
  </si>
  <si>
    <t xml:space="preserve">• [alleged] Allegation made BY this victim: age 15; met Epstein through a field trip; traveled on Epstein's jet to New Mexico then the Virgin Islands. 'Epstein asked her age on the plane and she truthfully said she was 15.'  (EFTA02731082 pp.27-28)
• [alleged] Allegation made BY this victim: at the New Mexico ranch 'a redheaded female directed her to undress for a massage and massaged her genital area'; Epstein sexually abused her the next day.  (EFTA02731082 pp.27-28)
• [alleged] Allegation made BY this victim: 'Epstein bought her white underwear from Victoria's Secret and photographed her wearing them.'  (EFTA02731082 pp.27-28)</t>
  </si>
  <si>
    <t xml:space="preserve">• 2000s: Age 15 at the time of the New Mexico and USVI travel (EFTA02731082 pp.27-28).</t>
  </si>
  <si>
    <t xml:space="preserve">She told Epstein directly, on his plane, that she was 15. Section IV.A of the memo contains a subsection headed 'Knowledge of Age', the content of which is redacted. The unidentified 'redheaded female' who directed her is a further partial identification the corpus does not resolve.</t>
  </si>
  <si>
    <t xml:space="preserve">P156</t>
  </si>
  <si>
    <t xml:space="preserve">Victim 3501.045 (FBI 'Protect Source'; referred to throughout the FD-302s as 'II')</t>
  </si>
  <si>
    <t xml:space="preserve">Tier 5 stated by the corpus, with is_public=false; identified only by FBI file identifier.</t>
  </si>
  <si>
    <t xml:space="preserve">victim, trafficked, witness, recruiter</t>
  </si>
  <si>
    <t xml:space="preserve">n/a — her recruitment activity is recorded by the corpus as survival behaviour under direct threat, not culpability.</t>
  </si>
  <si>
    <t xml:space="preserve">Unknown; no justice. She was never a complainant in any charged case and no prosecution resulted from her account. Living in Washington State as of 2019. Identity protected (is_public=false).</t>
  </si>
  <si>
    <t xml:space="preserve">Trump denies all Epstein-related wrongdoing generally and has characterized Epstein coverage as a hoax; no response specific to this account is in the record. Atkins, contacted by the victim years later, said: 'I don't give a shit if you end up in the gutter. Don't ever contact me again. Your mother knows what will happen.'</t>
  </si>
  <si>
    <t xml:space="preserve">• [alleged] Allegation made BY this victim: abused by Jeffrey Epstein beginning at approximately age 13 on Hilton Head Island, SC; drugged with cocaine, alcohol and marijuana simultaneously; forced oral sex.  (EFTA01245620 p.3; EFTA02858481; EFTA02858491)
• [alleged] Allegation made BY this victim: sexually assaulted by Donald Trump at age 13-15 in 'a very tall building with huge rooms' in New York or New Jersey — forced oral sex; she bit him; he 'pulled her hair and punched her on the side of her head.'  (EFTA02858481 pp.7-8; EFTA02858491 p.1)
• [alleged] Allegation made BY this victim: sexually assaulted by 'Jim Atkins (phonetic)' on more than one occasion beginning at approximately age 14-15.  (EFTA02858481 p.2)
• [alleged] Allegation made BY this victim: her mother was blackmailed by Epstein and Atkins using explicit photographs of her, resulting in the mother's federal embezzlement conviction.  (EFTA02858481 pp.2-3; EFTA02858491 p.1)
• [alleged] Conduct she was coerced into, recorded as victim survival behaviour and not as culpability: she was sent by Epstein on 'missions' to recruit 'young fresh meat girls. Virgins.' — 'better to get him people to party with, than to be partied on.'  (EFTA01245620 pp.7-8; EFTA02858481 p.5)
• [alleged] Allegation made BY this victim: decades of threatening phone calls she attributes to Epstein and associates; nearly run off Interstate 5 in Oregon.  (EFTA02858491 pp.2-3)
• [alleged] Allegation made BY this victim: asked by Epstein to distribute acid on Hilton Head Island; isolated and given alcohol by Epstein at a Savannah concert at ~15, then found alone by police and held in jail overnight.  (EFTA02858481 pp.7-8)</t>
  </si>
  <si>
    <t xml:space="preserve">• 1979: First contact at approximately age 13, Sea Pines Plantation, Hilton Head Island, SC, via her mother's babysitting advertisement (EFTA01245620 p.3).
• 1980: Assaults by 'Jim Atkins' begin; recruitment 'missions'; Polaroid blackmail (EFTA02858481).
• 1981: Alleged Trump assault (~1981-1984); two further Trump interactions she declined to describe.
• 1982: Savannah concert incident (dated by concert archives to Oct 8, 1981 or Jul 8, 1982).
• 1983: Her mother convicted of federal embezzlement; serves ~2 years in Columbia, SC (~1983-1986).
• 2019-07-10: Calls the FBI hotline after Epstein's arrest; telephone pre-interview (EFTA01245635).
• 2019-07-24: Interview #1 (EFTA01245620, Serial 216).
• 2019-08-07: Interview #2 — names Trump (EFTA02858481, Serial 252).
• 2019-08-20: Interview #3 — clarifies the assault, describes threatening calls (EFTA02858491, Serial 264).
• 2019-10-16: Interview #4, scheduled specifically to document the Trump allegations: she asks 'what's the point?', cites the statute of limitations and declines to proceed (EFTA02858495).
• 2019-11-13: Retains civil counsel; routes all FBI contact through her attorney (EFTA01245633).</t>
  </si>
  <si>
    <t xml:space="preserve">She did NOT recant — she declined to add further detail, citing the statute of limitations. Her two additional Trump interactions are permanently unrecorded in the federal investigative file. The corpus does not define what the FBI's 'Protect Source' designation formally entails. Nothing identifying is recorded here; her yearbook school year and surname at publication are redacted in the underlying documents. The 'Jim Atkins' name is the FBI's phonetic rendering and the spelling is unverified; a surname match with a journal partial identification exists but the corpus draws no link and none should be inferred.</t>
  </si>
  <si>
    <t xml:space="preserve">EFTA01245620, EFTA02858481, EFTA02858491, EFTA02858495, EFTA01245635, EFTA01245633, EFTA01245629, EFTA01245630, EFTA01245631, EFTA01245632</t>
  </si>
  <si>
    <t xml:space="preserve">P157</t>
  </si>
  <si>
    <t xml:space="preserve">Victim 4 (EFTA02731082, pp.6-8)</t>
  </si>
  <si>
    <t xml:space="preserve">Numbered minor victim in the SDNY prosecution memo.</t>
  </si>
  <si>
    <t xml:space="preserve">• [alleged] Allegation made BY this victim: met Epstein at age 13; abuse began at 14; raped at the New York residence; traveled to New York, New Mexico and the Virgin Islands; contact continued until age 21.  (EFTA02731082 pp.6-8)
• [alleged] Statement made BY this victim that cuts AGAINST other allegations: she met Prince Andrew but 'reports no sexual contact with Epstein's friends.'  (EFTA02731082 pp.6-8)</t>
  </si>
  <si>
    <t xml:space="preserve">• 2000s: Met Epstein at 13; abuse from 14; contact continued to age 21 (EFTA02731082 pp.6-8).</t>
  </si>
  <si>
    <t xml:space="preserve">Her account is materially exculpatory on one point — she met Prince Andrew and reports no sexual contact with Epstein's friends. Recorded because omitting it would skew the Prince Andrew record, which rests on a different victim's account.</t>
  </si>
  <si>
    <t xml:space="preserve">P158</t>
  </si>
  <si>
    <t xml:space="preserve">Victim 7 (EFTA02731082, pp.12-16)</t>
  </si>
  <si>
    <t xml:space="preserve">Numbered minor victim in the SDNY prosecution memo; sole corpus source for the Weinstein allegation.</t>
  </si>
  <si>
    <t xml:space="preserve">• [alleged] Allegation made BY this victim: met Epstein through 'Joseph Alvarez a/k/a Gypsy' at age 17; raped in Palm Beach and the Virgin Islands.  (EFTA02731082 pp.12-16)
• [alleged] Allegation made BY this victim: Epstein directed her to massage Harvey Weinstein at the Paris residence — 'Weinstein told her to remove her shirt, she refused.'  (EFTA02731082 p.14)
• [alleged] Allegation made BY this victim: she was also directed to massage Jean-Luc Brunel (non-sexual).  (EFTA02731082 p.14)</t>
  </si>
  <si>
    <t xml:space="preserve">• 2000s: Met Epstein at age 17; Paris and USVI travel undated in the corpus (EFTA02731082 pp.12-16).</t>
  </si>
  <si>
    <t xml:space="preserve">P159</t>
  </si>
  <si>
    <t xml:space="preserve">Victim 9 (EFTA02731082, prosecution memo pp.18-19)</t>
  </si>
  <si>
    <t xml:space="preserve">Numbered minor victim in the SDNY prosecution memo; recorded at Tier 5 under the corpus rule that victim-turned-recruiters who were themselves minors when recruited remain Tier 5.</t>
  </si>
  <si>
    <t xml:space="preserve">n/a — the corpus records her recruitment activity as conduct she was made an instrument of after being recruited at 13-14, not as independent participation.</t>
  </si>
  <si>
    <t xml:space="preserve">Unknown. Identity redacted throughout; the corpus records no outcome.</t>
  </si>
  <si>
    <t xml:space="preserve">n/a (she is the victim).</t>
  </si>
  <si>
    <t xml:space="preserve">• [alleged] Allegation made BY this victim: she was recruited at approximately age 13-14 and estimates she recruited approximately 100 underage girls for Epstein.  (EFTA02731082 pp.18-19)
• [alleged] Allegation made BY this victim: she became pregnant at 15, after which Epstein stopped seeing her but allowed her to continue recruiting.  (EFTA02731082 pp.18-19)
• [alleged] Allegation made BY this victim of witness tampering against her: during the Florida investigation Epstein's attorneys pressured her to lie about telling Epstein her age and 'suggested that if she told the truth, her child would be taken away.'  (EFTA02731082 p.18)</t>
  </si>
  <si>
    <t xml:space="preserve">• 1990s/2000s: Recruited at approximately age 13-14 (EFTA02731082 p.18).
• 2005: Epstein's attorneys threaten that truthful testimony will cost her custody of her child (EFTA02731082 p.18).
• 2019-12-19: Her account documented in the SDNY prosecution memo. No charge resulted against Epstein's attorneys or anyone else.</t>
  </si>
  <si>
    <t xml:space="preserve">DUAL STATUS. The corpus states she 'estimates she recruited approximately 100 underage girls for Epstein' — the largest single recruitment channel documented — while herself having been recruited at 13-14. The corpus treats this as the pyramid recruitment model made flesh and as coerced conduct. is_operator is set true to record the recruitment function only; she is a Tier 5 minor victim and the tier migration rule ('never Tier 5 to any other tier') applies. The attorneys who coerced her are unnamed and were never charged.</t>
  </si>
  <si>
    <t xml:space="preserve">P160</t>
  </si>
  <si>
    <t xml:space="preserve">Victim interviewed by the FBI in EFTA00173806 (arrived New York City August 2003, approximately age 18)</t>
  </si>
  <si>
    <t xml:space="preserve">Unnamed victim whose FBI interview is the corpus's clearest end-to-end documentation of the recruitment pipeline.</t>
  </si>
  <si>
    <t xml:space="preserve">Unknown. No prosecution arising from her account is recorded.</t>
  </si>
  <si>
    <t xml:space="preserve">• [alleged] Allegation made BY this victim: she met a Russian woman at a nightclub who told her about 'easy money' massaging a guy; 'went several times to Jeffrey Epstein's home and each time it became worse.'  (EFTA00173806)
• [alleged] Allegation made BY this victim: 'Epstein got [her] an interview with Jean Luc Brunel. The modeling agency was Karin Models aka MC Squared'; she went from Epstein's home to Brunel's home for the interview.  (EFTA00173806)
• [alleged] Allegation made BY this victim: she flew with another girl to West Palm Beach, then to the Virgin Islands on Epstein's plane and by helicopter to the island, where 'Epstein became rough and forceful'; when she resisted he 'threatened her that she would not get work in the city, saying that he has lunch with higher ups in modeling agencies.'  (EFTA00173806)</t>
  </si>
  <si>
    <t xml:space="preserve">• 2003-08: Arrives in New York City; the pipeline sequence follows (EFTA00173806).</t>
  </si>
  <si>
    <t xml:space="preserve">The corpus uses this interview to establish the full pipeline: nightclub recruitment, massage, modeling agency vetting, island transport, coercion via career threats.</t>
  </si>
  <si>
    <t xml:space="preserve">EFTA00173806</t>
  </si>
  <si>
    <t xml:space="preserve">P161</t>
  </si>
  <si>
    <t xml:space="preserve">Victim who described Sarah Kellen's massage-table setup (FBI 302, EFTA01245817)</t>
  </si>
  <si>
    <t xml:space="preserve">Unnamed victim whose FBI 302 documents the operational mechanics of the scheduling role.</t>
  </si>
  <si>
    <t xml:space="preserve">Unknown. No prosecution resulted; Kellen was immunized.</t>
  </si>
  <si>
    <t xml:space="preserve">• [alleged] Statement made BY this victim: Kellen set up the massage table, arranged lotions, scheduled appointments, and called victims 'ahead of time to advise of dates when Epstein would be in Palm Beach.'  (EFTA01245817)</t>
  </si>
  <si>
    <t xml:space="preserve">• 2006: FBI 302 interview; date not given in the corpus.</t>
  </si>
  <si>
    <t xml:space="preserve">FBI agents Kuyrkendall and Richards are named in this document while agent names are redacted in comparable documents — an inconsistent-redaction data point.</t>
  </si>
  <si>
    <t xml:space="preserve">EFTA01245817</t>
  </si>
  <si>
    <t xml:space="preserve">P162</t>
  </si>
  <si>
    <t xml:space="preserve">Victim who reported sexual abuse by Sarah Kellen (EFTA01699906)</t>
  </si>
  <si>
    <t xml:space="preserve">Unnamed victim recorded in the FBI organizational chart material.</t>
  </si>
  <si>
    <t xml:space="preserve">Unknown. No prosecution — Kellen was immunized by the 2007 NPA.</t>
  </si>
  <si>
    <t xml:space="preserve">Kellen has never been charged; in her May 2026 House Oversight interview she testified that Epstein abused her for years.</t>
  </si>
  <si>
    <t xml:space="preserve">• [alleged] Allegation made BY this victim: 'At least 1 victim states that [Kellen/Vickers] sexually abused her during a massage with Epstein.'  (EFTA01699906)</t>
  </si>
  <si>
    <t xml:space="preserve">• 2005: Date not given in the corpus.</t>
  </si>
  <si>
    <t xml:space="preserve">EFTA01699906</t>
  </si>
  <si>
    <t xml:space="preserve">P163</t>
  </si>
  <si>
    <t xml:space="preserve">Victim whose visa was sponsored by Brunel's agency (SDNY prosecution memo EFTA02731082 pp.47-48)</t>
  </si>
  <si>
    <t xml:space="preserve">Unnamed victim held in place by immigration leverage, per the prosecution memo.</t>
  </si>
  <si>
    <t xml:space="preserve">Unknown. No prosecution recorded.</t>
  </si>
  <si>
    <t xml:space="preserve">• [alleged] Allegation made BY this victim: her visa was sponsored by Brunel's modeling agency 'even though she was not working'; Epstein told her 'that he paid Brunel $1 million to keep her in the country'; she 'felt that Epstein could have her deported with a single phone call to Brunel'; in 2011 Epstein and Brunel refused to help renew her visa.  (EFTA02731082 pp.47-48)</t>
  </si>
  <si>
    <t xml:space="preserve">• 2011: Epstein and Brunel refuse to renew her visa (EFTA02731082 p.48).</t>
  </si>
  <si>
    <t xml:space="preserve">Corpus open question: 'How many victims were held in place through visa sponsorship?' The corpus elsewhere describes 'Redacted Subject B' of the prosecution memo as controlled by the same visa leverage; the corpus does not state whether these are the same person and they are not merged here.</t>
  </si>
  <si>
    <t xml:space="preserve">P164</t>
  </si>
  <si>
    <t xml:space="preserve">Virginia Giuffre</t>
  </si>
  <si>
    <t xml:space="preserve">Identified victim and central witness who publicly self-identified in 2011 and testified/deposed in public court proceedings.</t>
  </si>
  <si>
    <t xml:space="preserve">Settled Giuffre v. Maxwell (2017, confidential) and Giuffre v. Prince Andrew (Feb 2022, reported ~GBP 12m, no admission of liability). Dershowitz claim mutually dropped Nov 2022.</t>
  </si>
  <si>
    <t xml:space="preserve">Deceased. Died April 25, 2025 in Western Australia, ruled suicide, age 41. Her estate and family continue advocacy; memoir remains a major source. Donald Trump Jr. publicly amplified murder conspiracy theories about her death; there is no evidence supporting them and the official ruling remains suicide.</t>
  </si>
  <si>
    <t xml:space="preserve">n/a (she is the accuser). Several men she named denied her allegations; she partially retracted as to Dershowitz.</t>
  </si>
  <si>
    <t xml:space="preserve">• [alleged] Allegation made BY Giuffre: she was recruited by Ghislaine Maxwell at Mar-a-Lago at age 15 while working as a changing-room attendant and told she could earn money as a 'traveling masseuse' for Epstein.  (EFTA01187465 para.13d; EFTA00208310; EFTA00072560)
• [alleged] Allegation made BY Giuffre: Maxwell directed her to give erotic massages and engage in sexual activity with Jean-Luc Brunel.  (EFTA00263917)
• [alleged] Allegation made BY Giuffre: three sexual encounters with Prince Andrew in 2001 when she was 17; settled civilly in Feb 2022 with no admission of liability.  (Giuffre v. Prince Andrew (SDNY, settled Feb 2022))
• [withdrawn] Allegation made BY Giuffre against Alan Dershowitz: sexual abuse. Mutually dropped/settled Nov 2022, with Giuffre stating she 'may have made a mistake' in identifying him.  (Giuffre v. Dershowitz (settled/withdrawn Nov 2022))
• [alleged] Allegations made BY Giuffre naming Jean-Luc Brunel, George Mitchell, Bill Richardson and Marvin Minsky. Several named men denied them; none was adjudicated.  (Unsealed Giuffre v. Maxwell filings; 2015 deposition)</t>
  </si>
  <si>
    <t xml:space="preserve">• 1998: Recruited at Mar-a-Lago at approximately age 15 (corpus dates recruitment ~1998-1999; Entity Database v2.0 states age 16-17).
• 2000-2002: Period of trafficking described in her accounts; flight records place her with Epstein, Maxwell and Brunel (EFTA01182998).
• 2011-03-01: Goes public in the Palm Beach Daily News (EFTA00208310).
• 2013-07: FBI 302 interview, US Consulate Sydney (GIUFFRE001235-1246).
• 2017: Settles Giuffre v. Maxwell (confidential).
• 2022-02: Settles Giuffre v. Prince Andrew, reported ~GBP 12m, never officially confirmed, no admission of liability.
• 2022-02-19: Statement on Brunel's death: 'The suicide of Jean-Luc Brunel, who abused me and countless girls and young women, ends another chapter.' (EFTA00174043)
• 2022-11: Claim against Dershowitz and his counterclaim mutually dropped.
• 2025-04-25: Died in Western Australia, age 41; officially ruled suicide.
• 2025-10: Posthumous memoir 'Nobody's Girl' published.
• 2026-01/02: Released files contain a Maxwell email apparently confirming the authenticity of the Giuffre/Andrew photograph — posthumous corroboration contradicting Andrew's long-standing denial.</t>
  </si>
  <si>
    <t xml:space="preserve">Her allegation against Dershowitz was partially retracted and mutually dropped; that is recorded alongside her other allegations, none of which was adjudicated on the merits.</t>
  </si>
  <si>
    <t xml:space="preserve">EFTA01187465, EFTA00208310, EFTA00072560, EFTA00263917, EFTA01182998, EFTA00174043</t>
  </si>
  <si>
    <t xml:space="preserve">https://www.nbcnews.com/news/us-news/virginia-giuffre-one-jeffrey-epsteins-prominent-abuse-survivors-dies-s-rcna203027
https://en.wikipedia.org/wiki/Virginia_Giuffre
https://verdict.justia.com/2025/11/19/nobodys-girl-tells-of-virginia-roberts-giuffres-life-of-much-abuse-and-very-little-justice
https://www.cbsnews.com/news/former-prince-andrew-arrested-epstein-files-suspected-misconduct-public-office/</t>
  </si>
  <si>
    <t xml:space="preserve">P165</t>
  </si>
  <si>
    <t xml:space="preserve">'AF' (initials only, unidentified)</t>
  </si>
  <si>
    <t xml:space="preserve">T6 — Staff / Legal / Law Enforcement</t>
  </si>
  <si>
    <t xml:space="preserve">Provisional. The corpus's own hypothesis is an intermediary/scheduling function, which is a Tier 6 operations role; identity unknown.</t>
  </si>
  <si>
    <t xml:space="preserve">scheduler, admin</t>
  </si>
  <si>
    <t xml:space="preserve">never charged (corpus: no charge recorded)</t>
  </si>
  <si>
    <t xml:space="preserve">• [alleged] Referenced by Jes Staley: 'I told Rosa. Sorry. And I m getting dates and times from AF.' The corpus: 'AF is unidentified — possibly another intermediary arranging meetings or travel with Epstein.'  (EFTA02033217)</t>
  </si>
  <si>
    <t xml:space="preserve">• 2013-04-23: Referenced in Staley's email to Epstein.</t>
  </si>
  <si>
    <t xml:space="preserve">Marked by the corpus as a possibility, not a finding. Open question OQ-T01-05 / OQ-S01.</t>
  </si>
  <si>
    <t xml:space="preserve">EFTA02033217</t>
  </si>
  <si>
    <t xml:space="preserve">⚠ Identity and role entirely unestablished; the scheduling role is the corpus's hypothesis.</t>
  </si>
  <si>
    <t xml:space="preserve">P166</t>
  </si>
  <si>
    <t xml:space="preserve">'EXECUTIVE-1' (unidentified — co-Head of Deutsche Bank Wealth Management Americas)</t>
  </si>
  <si>
    <t xml:space="preserve">Unidentified senior Deutsche Bank executive who approved and vouched for the Epstein relationship; Tier 6 covers bank employees.</t>
  </si>
  <si>
    <t xml:space="preserve">He approved onboarding of a convicted sex offender, visited Epstein at home, and vouched for the relationship at every checkpoint.</t>
  </si>
  <si>
    <t xml:space="preserve">never charged — unidentified.</t>
  </si>
  <si>
    <t xml:space="preserve">n/a — unidentified.</t>
  </si>
  <si>
    <t xml:space="preserve">• [alleged] The NYDFS consent order identifies 'the co-Head of the Wealth Management Americas group' but redacts the name. This person approved onboarding, visited Epstein at his New York home with Paul Morris on January 22, 2015 for 'due diligence' of which no contemporaneous records exist, and vouched for the relationship at every checkpoint.  (EFTA00151495 (NYDFS consent order))</t>
  </si>
  <si>
    <t xml:space="preserve">• 2013: Approves onboarding.
• 2015-01-22: Home visit with Paul Morris; no contemporaneous record.
• 2015-01-30: The Americas Reputational Risk Committee approves the continued relationship with no minutes taken, in violation of Deutsche Bank's own policy.</t>
  </si>
  <si>
    <t xml:space="preserve">The corpus's lead open question on the Deutsche Bank thread. The disclosure asymmetry runs one way: mid-level bank employees are named in full in the bank's internal documents, while the most senior decision-maker is de-identified in the regulator's own findings.</t>
  </si>
  <si>
    <t xml:space="preserve">EFTA00151495</t>
  </si>
  <si>
    <t xml:space="preserve">⚠ Identity redacted in the NYDFS consent order; unresolved.</t>
  </si>
  <si>
    <t xml:space="preserve">P167</t>
  </si>
  <si>
    <t xml:space="preserve">'Jane' (SDNY Civil Rights Unit AUSA, first name only)</t>
  </si>
  <si>
    <t xml:space="preserve">SDNY Civil Rights Unit Assistant U.S. Attorney whose first name survived in an email sign-off; Tier 6 covers prosecutors.</t>
  </si>
  <si>
    <t xml:space="preserve">prosecutor</t>
  </si>
  <si>
    <t xml:space="preserve">As to the Black referral handled by the Civil Rights Unit.</t>
  </si>
  <si>
    <t xml:space="preserve">never charged. No allegation is made against her personally; the corpus records the decision, not misconduct.</t>
  </si>
  <si>
    <t xml:space="preserve">Unknown — surname unknown.</t>
  </si>
  <si>
    <t xml:space="preserve">n/a — no allegation to answer.</t>
  </si>
  <si>
    <t xml:space="preserve">• 2023-05-30: EFTA02731771 — the document containing the admission 'I did not write anything up on Leon Black and the only victim we interviewed was [redacted]' — is the same document in which her first name appears in a casual sign-off.
• 2023-07-22: The Civil Rights Unit formally declines to investigate.</t>
  </si>
  <si>
    <t xml:space="preserve">PARTIAL IDENTIFICATION, FIRST NAME ONLY. The corpus records no surname. Do not attempt to attribute the 'I did not write anything up' admission to her without further evidence — the corpus does not state that she is its author. The systematic redaction of AUSA names throughout DS12 is classified by the corpus as Category C institutional protection: 'it shields individual prosecutors from accountability.'</t>
  </si>
  <si>
    <t xml:space="preserve">EFTA02731771</t>
  </si>
  <si>
    <t xml:space="preserve">P168</t>
  </si>
  <si>
    <t xml:space="preserve">'MCC 4AM Supervisor' (unnamed in the corpus)</t>
  </si>
  <si>
    <t xml:space="preserve">Bureau of Prisons staff present on the night of Epstein's death whose identity is withheld or redacted; Tier 6 covers BOP staff.</t>
  </si>
  <si>
    <t xml:space="preserve">employee, operations</t>
  </si>
  <si>
    <t xml:space="preserve">never charged — identity not given in available documents.</t>
  </si>
  <si>
    <t xml:space="preserve">• [alleged] An overnight supervisor entered the SHU at approximately 4 AM on August 10, 2019, saw Noel and Thomas at the desk, and left without checking any round logs or entering any tier. This supervisor is never identified by name in available documents and faces no charges.  (EFTA02731790 (DS12 expansion))</t>
  </si>
  <si>
    <t xml:space="preserve">• 2019-08-09: August 9-10, 2019, MCC Special Housing Unit.</t>
  </si>
  <si>
    <t xml:space="preserve">DS12 lists this person on its Suspect Watchlist at HIGH priority; Open Question #3: 'Who is the 4 AM supervisor?' This is one of three structural failures the corpus identifies as 'Never Charged'.</t>
  </si>
  <si>
    <t xml:space="preserve">EFTA02731790</t>
  </si>
  <si>
    <t xml:space="preserve">⚠ Identity withheld or redacted throughout available documents.</t>
  </si>
  <si>
    <t xml:space="preserve">P169</t>
  </si>
  <si>
    <t xml:space="preserve">'Officer-1' (unnamed in the corpus)</t>
  </si>
  <si>
    <t xml:space="preserve">• [alleged] Co-signed the falsified 4 PM count slip with Tova Noel on August 9, 2019 without conducting the count. Signed a false federal record but was not among the indicted; the corpus does not address why.  (EFTA02731790 (DS12 expansion))</t>
  </si>
  <si>
    <t xml:space="preserve">Recorded as an unnamed staff person; the corpus does not explain the non-charging.</t>
  </si>
  <si>
    <t xml:space="preserve">P170</t>
  </si>
  <si>
    <t xml:space="preserve">'Officer-2' (unnamed in the corpus)</t>
  </si>
  <si>
    <t xml:space="preserve">• [alleged] Co-signed the falsified 10 PM count slip with Tova Noel on August 9, 2019. Same unexplained non-charging as Officer-1.  (EFTA02731790 (DS12 expansion))</t>
  </si>
  <si>
    <t xml:space="preserve">P171</t>
  </si>
  <si>
    <t xml:space="preserve">'Rosa' (first name only) — Jes Staley's personal assistant</t>
  </si>
  <si>
    <t xml:space="preserve">Personal assistant who coordinated with Epstein's operation; Tier 6 covers staff. Surname unknown.</t>
  </si>
  <si>
    <t xml:space="preserve">admin, employee, scheduler</t>
  </si>
  <si>
    <t xml:space="preserve">• [alleged] Staley's personal assistant who 'coordinated with Epstein's operation'. Staley to Epstein: 'I told Rosa. Sorry. And I m getting dates and times from AF.' A separate document records 'Jes Staley: Rosa is Jes' assistant.'  (EFTA02033217; EFTA02032435; EFTA01733746)</t>
  </si>
  <si>
    <t xml:space="preserve">• 2013-04-23: Named in Staley's email to Epstein.</t>
  </si>
  <si>
    <t xml:space="preserve">Surname unknown. EFTA01733746 is listed among the corpus's entities extracted near redaction bars — operational details about her were found adjacent to redacted content.</t>
  </si>
  <si>
    <t xml:space="preserve">EFTA02033217, EFTA02032435, EFTA01733746</t>
  </si>
  <si>
    <t xml:space="preserve">P172</t>
  </si>
  <si>
    <t xml:space="preserve">'Simone' (first name only) — JPMC settlement fund administrator</t>
  </si>
  <si>
    <t xml:space="preserve">Settlement fund administrator; Tier 6 covers institutional administrators. Surname unknown.</t>
  </si>
  <si>
    <t xml:space="preserve">admin</t>
  </si>
  <si>
    <t xml:space="preserve">• [alleged] No allegation. 'JPMC settlement fund administrator', appearing in the JPMC distribution order document.  (EFTA02731734)</t>
  </si>
  <si>
    <t xml:space="preserve">• 2024-08-01: Appears in the JPMC distribution order — the most recent communication in the DS12 chain.</t>
  </si>
  <si>
    <t xml:space="preserve">PARTIAL IDENTIFICATION — first name only. Her role sits at the point where victim compensation was actually administered, in the same document as the last recorded action before the DS12 release.</t>
  </si>
  <si>
    <t xml:space="preserve">EFTA02731734</t>
  </si>
  <si>
    <t xml:space="preserve">P173</t>
  </si>
  <si>
    <t xml:space="preserve">'Supervisor-1' (unnamed in the corpus)</t>
  </si>
  <si>
    <t xml:space="preserve">• [alleged] First supervisor to arrive after the 6:33 AM alarm on August 10, 2019. Noel told him 'Epstein hung himself' before he could see inside the cell, then 'We did not complete the 3am nor 5am rounds'; Thomas told him 'We messed up.'  (EFTA02731790 (DS12 expansion))</t>
  </si>
  <si>
    <t xml:space="preserve">P174</t>
  </si>
  <si>
    <t xml:space="preserve">A. Marie Villafana</t>
  </si>
  <si>
    <t xml:space="preserve">Lead federal prosecutor (AUSA, SDFL) on the 2007-2008 Epstein matter; Tier 6 covers prosecutors.</t>
  </si>
  <si>
    <t xml:space="preserve">She drafted the 82-page prosecution memorandum and the 53-page sealed indictment and conducted the charging-versus-immunity discussions; she knew the full evidentiary picture.</t>
  </si>
  <si>
    <t xml:space="preserve">never charged (status_verification.md, July 2026). She received a DOJ OPR finding of poor judgment in the 2020 review; not misconduct.</t>
  </si>
  <si>
    <t xml:space="preserve">Left the U.S. Attorney's Office (SDFL) in 2018; no 2026 fallout.</t>
  </si>
  <si>
    <t xml:space="preserve">Alive. Attorney (previously counsel at the HHS Office of Inspector General); current role unverified.</t>
  </si>
  <si>
    <t xml:space="preserve">Has previously apologized to victims for the handling of the case.</t>
  </si>
  <si>
    <t xml:space="preserve">• 2007-05: Completes an 82-page prosecution memorandum and a 53-page sealed indictment naming 19 Jane Does and Sarah Kellen as a defendant (EFTA01186070; EFTA01659794).
• 2007-09-17: Asks defence counsel to send documents to her home email address; the CVRA filing notes the government produced no emails from prosecutors' personal accounts in discovery.
• 2007-09-19: To defence counsel: 'I have had an 82-page pros memo and 53-page indictment sitting on the shelf since May to engage in these negotiations. There has to be an ending date.' (EFTA01186070)
• 2007-09-24: NPA signed; defence counsel Lefkowitz asks her to 'keep this from becoming public' (EFTA01186086).
• 2008-06: Still preparing the Operation Leap Year grand jury presentation; grand jury subpoenas issued; her June 2008 travel memo describes the Brunel/MC2 connection and planned New York victims (EFTA00225378).
• 2008-06-30: Epstein's state guilty plea activates the NPA and terminates the federal case.
• 2018: Leaves the U.S. Attorney's Office, SDFL.
• 2020: DOJ OPR review finds poor judgment; no professional misconduct finding.
• 2026-03-20: Bloomberg reporting, based on newly released documents, establishes that she repeatedly pushed her superiors to indict Epstein in 2007 and drafted an indictment. Follow-up reporting March 25, 2026.</t>
  </si>
  <si>
    <t xml:space="preserve">SHE IS NOT A FAILURE POINT, AND THE RECORD MUST SAY SO PLAINLY. Bloomberg reporting of March 20 and March 25, 2026, based on newly released documents, established that Villafana REPEATEDLY PUSHED HER SUPERIORS TO INDICT EPSTEIN IN 2007 AND DRAFTED THE INDICTMENT — and was overruled. This directly undercuts any framing of her as a willing participant in the sweetheart deal and shifts responsibility upward to Acosta and Main Justice. status_verification.md flags this as a correction most older investigation files will need. Two secondary items remain in the record without adverse inference: the request that defence counsel use her home email address, and an internal email stating 'recusal was connected to reinhart-marie conversation' (EFTA01001371) linking the SDFL office-wide recusal to her conversation with Bruce Reinhart.</t>
  </si>
  <si>
    <t xml:space="preserve">EFTA01186070, EFTA01186086, EFTA01659794, EFTA00225378, EFTA01001371</t>
  </si>
  <si>
    <t xml:space="preserve">https://www.bloomberg.com/news/articles/2026-03-20/prosecutor-pushed-her-bosses-for-epstein-s-arrest-multiple-times-in-2007
https://www.bloomberg.com/news/articles/2026-03-25/how-jeffrey-epstein-prosecutor-marie-villafana-pushed-for-an-indictment-in-2007
https://news.bloomberglaw.com/litigation/prosecutor-pushed-her-bosses-for-epsteins-arrest-multiple-times</t>
  </si>
  <si>
    <t xml:space="preserve">P175</t>
  </si>
  <si>
    <t xml:space="preserve">Abigail Kurland</t>
  </si>
  <si>
    <t xml:space="preserve">SDNY Assistant U.S. Attorney appearing in the Epstein case file; Tier 6 covers prosecutors.</t>
  </si>
  <si>
    <t xml:space="preserve">never charged. NO ALLEGATIONS ARE MADE AGAINST THIS PERSON; they appear as an official doing their job.</t>
  </si>
  <si>
    <t xml:space="preserve">Unknown as of July 2026.</t>
  </si>
  <si>
    <t xml:space="preserve">• 2018-11: Epstein investigation restarted at SDNY.</t>
  </si>
  <si>
    <t xml:space="preserve">Name became visible through a less-redacted copy of Exhibit N (EFTA00039809) where it is redacted elsewhere (EFTA00039802) — an inconsistent-redaction data point, not an adverse fact about the person. AUSA, SDNY. CC'd on Epstein case emails during the 2018 investigation restart.</t>
  </si>
  <si>
    <t xml:space="preserve">EFTA00039809</t>
  </si>
  <si>
    <t xml:space="preserve">P176</t>
  </si>
  <si>
    <t xml:space="preserve">Adam Horowitz</t>
  </si>
  <si>
    <t xml:space="preserve">Victims' attorney who represented the minor Leon Black victim during her initial DANY interviews before Wigdor LLP took over; Tier 6 covers attorneys.</t>
  </si>
  <si>
    <t xml:space="preserve">• [alleged] No allegation. Prior attorney who represented a victim during the initial DANY interviews before Wigdor LLP took over the representation; referred her to DANY/Christensen.  (DS12: EFTA02731737)</t>
  </si>
  <si>
    <t xml:space="preserve">• 2023: Represents the minor Black victim during initial DANY interviews.</t>
  </si>
  <si>
    <t xml:space="preserve">EFTA02731737</t>
  </si>
  <si>
    <t xml:space="preserve">P177</t>
  </si>
  <si>
    <t xml:space="preserve">Alfredo Rodriguez</t>
  </si>
  <si>
    <t xml:space="preserve">Property/house manager and witness to abuse in the FBI operational hierarchy; charged with obstruction for attempting to sell Epstein's contact journal.</t>
  </si>
  <si>
    <t xml:space="preserve">employee, operations, witness</t>
  </si>
  <si>
    <t xml:space="preserve">Placed in the FBI operational hierarchy as 'property manager, witness to abuse'; he took from Epstein's computer a journal that 'contained and confirmed all allegations and had photos, emails and notes outlining Epstein and Brunel's sex trafficking scheme.'</t>
  </si>
  <si>
    <t xml:space="preserve">charged: obstruction of justice (2009), for attempting to sell the seized contact journal. Outcome not stated in the corpus.</t>
  </si>
  <si>
    <t xml:space="preserve">Unknown as of July 2026; not covered by status_verification.md.</t>
  </si>
  <si>
    <t xml:space="preserve">• [alleged] Took the journal investigators called 'The Holy Grail' / the 'golden nugget' from Epstein's computer and was charged with obstruction for trying to sell it; the journal contained names of victims and abusers.  (NPA_CO_CONSPIRATORS analysis; EFTA01657299)
• [alleged] Position in the FBI operational hierarchy: 'Alfredo Rodriguez (property manager, witness to abuse).'  (EFTA01653420; EFTA01699906)</t>
  </si>
  <si>
    <t xml:space="preserve">• 2009-11: Arrested for trying to sell the 'golden nugget' notebook (EFTA01657299).</t>
  </si>
  <si>
    <t xml:space="preserve">TIER CONFLICT FLAGGED, NOT RESOLVED. Under the strict Tier 1 criterion (convicted or charged), his obstruction charge would qualify. He is not alleged anywhere in the corpus to be an abuser or a trafficking participant, and the corpus places him in the staff/witness layer of the FBI hierarchy; Tier 6 is used with the conflict recorded.</t>
  </si>
  <si>
    <t xml:space="preserve">EFTA01653420, EFTA01699906, EFTA01657299</t>
  </si>
  <si>
    <t xml:space="preserve">P178</t>
  </si>
  <si>
    <t xml:space="preserve">Alissa Wimmer</t>
  </si>
  <si>
    <t xml:space="preserve">Identified in the corpus as a Manhattan DA (DANY) Assistant District Attorney investigating Leon Black; Tier 6 covers prosecutors.</t>
  </si>
  <si>
    <t xml:space="preserve">prosecutor, investigator</t>
  </si>
  <si>
    <t xml:space="preserve">As to DANY's own Leon Black investigation, per the corpus.</t>
  </si>
  <si>
    <t xml:space="preserve">never charged. NO ALLEGATIONS ARE MADE AGAINST HER; the corpus records her as an investigating prosecutor who repeatedly brought evidence to SDNY's attention.</t>
  </si>
  <si>
    <t xml:space="preserve">UNVERIFIED — status_verification.md returned zero results for this person.</t>
  </si>
  <si>
    <t xml:space="preserve">• 2021-10-29: Per the corpus, DANY (Wimmer/Puzio) contacts SDNY about DANY's own Black investigation (EFTA02731623, EFTA02731628).</t>
  </si>
  <si>
    <t xml:space="preserve">This record is included but MUST NOT BE PUBLISHED AS IS. See unverified_flags.</t>
  </si>
  <si>
    <t xml:space="preserve">EFTA02731623, EFTA02731628</t>
  </si>
  <si>
    <t xml:space="preserve">⚠ status_verification.md (July 31, 2026) found ZERO results for this person: 'Multiple targeted searches returned no result connecting any person named Alissa Wimmer to Jeffrey Epstein, the EFTA releases, House Oversight, or any related litigation. The only hits were unrelated people-search and LinkedIn records.'
⚠ ACTION REQUIRED: do not publish this name. The name could not be corroborated in ANY source. It must be re-checked against the primary document EFTA02731623 — where the corpus says it appears in clear text through a redaction failure while redacted elsewhere — before publication. Possible causes include a name misspelling, appearance only inside an unreleased/redacted document, or an error in the source list.</t>
  </si>
  <si>
    <t xml:space="preserve">P179</t>
  </si>
  <si>
    <t xml:space="preserve">Amanda Kramer</t>
  </si>
  <si>
    <t xml:space="preserve">Name became visible through a less-redacted copy of Exhibit N (EFTA00039809) where it is redacted elsewhere (EFTA00039802) — an inconsistent-redaction data point, not an adverse fact about the person. AUSA, SDNY. Involved in early Epstein case development (2016-2018); forwarded the original Peter Skinner materials when the investigation restarted in November 2018.</t>
  </si>
  <si>
    <t xml:space="preserve">EFTA00039809, EFTA00039802</t>
  </si>
  <si>
    <t xml:space="preserve">P180</t>
  </si>
  <si>
    <t xml:space="preserve">Andrew Gallivan</t>
  </si>
  <si>
    <t xml:space="preserve">Deutsche Bank employee on the Epstein relationship; Tier 6 covers bank employees.</t>
  </si>
  <si>
    <t xml:space="preserve">never charged (corpus: no individual sanction recorded). Deutsche Bank as an institution paid a $150 million NYDFS penalty on July 6, 2020.</t>
  </si>
  <si>
    <t xml:space="preserve">• [alleged] No allegation of criminal conduct. Deutsche Bank. Named in Kimberly Hart's October 2018 due diligence questions: 'Has Andrew [Gallivan] reviewed and is he comfortable maintaining the relationship?' The surname appears in brackets in the corpus, indicating it was supplied by the analyst rather than appearing verbatim in the document.  (EFTA01422803)</t>
  </si>
  <si>
    <t xml:space="preserve">Bank employee, not an operator of the Epstein enterprise. Several of these names appear on the corpus's 'Suspect Watchlist Additions', which is a research list, not a finding of wrongdoing.</t>
  </si>
  <si>
    <t xml:space="preserve">EFTA01422803</t>
  </si>
  <si>
    <t xml:space="preserve">P181</t>
  </si>
  <si>
    <t xml:space="preserve">Ann Rodriguez</t>
  </si>
  <si>
    <t xml:space="preserve">Household/operations staff appearing in the corpus solely as a named beneficiary of The 1953 Trust; Tier 6 covers staff.</t>
  </si>
  <si>
    <t xml:space="preserve">employee</t>
  </si>
  <si>
    <t xml:space="preserve">• [alleged] No allegation. Beneficiary of The 1953 Trust — $5,000,000, item 17. The corpus states no relationship between her and Alfredo Rodriguez or Cynthia Rodriguez — do not merge.  (EFTA01266204)</t>
  </si>
  <si>
    <t xml:space="preserve">• 2019-08-08: Named a beneficiary of The 1953 Trust, executed two days before Epstein's death.</t>
  </si>
  <si>
    <t xml:space="preserve">The corpus records a bequest amount and nothing more. The material fact about every staff beneficiary is that the bequest was subject to Section 2.5(A)'s two-year distribution hold and Section 2.5(B)'s 'disloyalty' forfeiture, adjudicated solely by Indyke and Kahn — the mechanism SDNY later demanded assurances about as potential witness intimidation. Receipt of a bequest is not conduct.</t>
  </si>
  <si>
    <t xml:space="preserve">EFTA01266204</t>
  </si>
  <si>
    <t xml:space="preserve">P182</t>
  </si>
  <si>
    <t xml:space="preserve">Arline Toylo</t>
  </si>
  <si>
    <t xml:space="preserve">• [alleged] No allegation. Beneficiary of The 1953 Trust — $1,000,000, items 35-36 with Carluz Toylo.  (EFTA01266204)</t>
  </si>
  <si>
    <t xml:space="preserve">P183</t>
  </si>
  <si>
    <t xml:space="preserve">Audrey Strauss</t>
  </si>
  <si>
    <t xml:space="preserve">U.S. Attorney, SDNY; led the Maxwell prosecution. Tier 6 covers prosecutors.</t>
  </si>
  <si>
    <t xml:space="preserve">As U.S. Attorney leading the Maxwell prosecution.</t>
  </si>
  <si>
    <t xml:space="preserve">never charged. NO ALLEGATIONS ARE MADE AGAINST HER; she is an official doing her job, and led the only successful Epstein-network prosecution.</t>
  </si>
  <si>
    <t xml:space="preserve">Alive. Former U.S. Attorney, SDNY.</t>
  </si>
  <si>
    <t xml:space="preserve">• 2020: Signs the Government's Omnibus Opposition to Maxwell's pretrial motions (EFTA00039421).
• 2021-12: Maxwell convicted.</t>
  </si>
  <si>
    <t xml:space="preserve">EFTA00039421</t>
  </si>
  <si>
    <t xml:space="preserve">P184</t>
  </si>
  <si>
    <t xml:space="preserve">Banasiak (surname only, Epstein 2014 Trust $35,000-$66,000 staff bracket)</t>
  </si>
  <si>
    <t xml:space="preserve">Staff beneficiary of the Epstein 2014 Trust; Tier 6 covers staff. Surname only in the corpus.</t>
  </si>
  <si>
    <t xml:space="preserve">• [alleged] No allegation. Named beneficiary in the $35,000-$66,000 staff bracket of the Epstein 2014 Trust. The corpus characterizes the lower bracket as 'meaningful but not life-changing — creates loyalty without making silence obviously transactional.'  (EFTA01266380)</t>
  </si>
  <si>
    <t xml:space="preserve">• 2014-11-18: Named beneficiary in the original trust.
• 2019-08-10: Subject to the one-year employment cliff running to approximately August 2020 (EFTA01266427 s.2.5).</t>
  </si>
  <si>
    <t xml:space="preserve">Surname only; the corpus gives no first name and states no relationship to similarly-named persons elsewhere in the dataset. Do not merge.</t>
  </si>
  <si>
    <t xml:space="preserve">EFTA01266380, EFTA01266427</t>
  </si>
  <si>
    <t xml:space="preserve">P185</t>
  </si>
  <si>
    <t xml:space="preserve">Bobbi Sternheim</t>
  </si>
  <si>
    <t xml:space="preserve">Maxwell defence-team member; Tier 6 covers attorneys on all sides.</t>
  </si>
  <si>
    <t xml:space="preserve">• [alleged] No allegation. Maxwell defence attorney; CC'd on defence filings.  (DS9: EFTA00039816; EFTA00039820; EFTA00039420)</t>
  </si>
  <si>
    <t xml:space="preserve">• 2021: Maxwell criminal case, SDNY 20 Cr. 330.</t>
  </si>
  <si>
    <t xml:space="preserve">Epstein paid $87,902+ to Haddon, Morgan &amp; Foreman for Maxwell's defence through his accounts (EFTA01681865 Exhibit M) — a fact about the funding structure, not an allegation against counsel.</t>
  </si>
  <si>
    <t xml:space="preserve">EFTA00039816, EFTA00039820</t>
  </si>
  <si>
    <t xml:space="preserve">P186</t>
  </si>
  <si>
    <t xml:space="preserve">Brad Edwards</t>
  </si>
  <si>
    <t xml:space="preserve">Long-serving Epstein victims' attorney later retained by Leon Black; Tier 6 covers attorneys on all sides.</t>
  </si>
  <si>
    <t xml:space="preserve">never charged (status_verification.md, July 2026: 'Never charged with any crime')</t>
  </si>
  <si>
    <t xml:space="preserve">No sanctions or adverse findings against him.</t>
  </si>
  <si>
    <t xml:space="preserve">None.</t>
  </si>
  <si>
    <t xml:space="preserve">Alive. Partner, Edwards Henderson (Fort Lauderdale); among the longest-serving Epstein victims' attorneys.</t>
  </si>
  <si>
    <t xml:space="preserve">n/a — no adverse finding to answer. He is an active public advocate for victims' privacy in the release process.</t>
  </si>
  <si>
    <t xml:space="preserve">• [alleged] CONFLICT OF INTEREST, not a crime. Retained by Leon Black: 'Hired Brad Edwards — a prominent victims' rights attorney — creating a conflict of interest. Edwards represented victims of Epstein but was retained by Black, potentially to neutralize legal opposition.' The corpus lists this under its Leon Black witness-intimidation heading.  (EFTA02731577; EFTA02731525)
• [alleged] As plaintiff's counsel he objected that a Black victim's journal claims were 'incredible'; the court overruled him and ordered the forensic examination that authenticated the journals.  (EFTA02731724; EFTA02731420; EFTA02731465; EFTA02731512)
• [court-found] Plaintiff-side counsel who represented Courtney Wild and other victims in the CVRA litigation that established the 2007 NPA violated victims' rights.  (CVRA litigation, Jane Doe v. United States)
• [alleged] In 2026 he and co-counsel Brittany Henderson formally urged federal judges to order the DOJ's Epstein files website SHUT DOWN, arguing the posted material inadequately redacted victim identities, including minors.  (Reported Feb 2026)</t>
  </si>
  <si>
    <t xml:space="preserve">• 2008: Acts for victims in the CVRA litigation against the government over the 2007 NPA.
• 2019: Notified of Maxwell proceedings on behalf of a victim (EFTA00039813).
• 2021: Retained by Leon Black (EFTA02731577).
• 2024-03: Objects that a victim's journal claims are 'incredible'; overruled (EFTA02731724).
• 2026-02: With Brittany Henderson, urges federal judges to shut down the DOJ Epstein files website over victim exposure.</t>
  </si>
  <si>
    <t xml:space="preserve">TWO THINGS ARE TRUE AT ONCE AND BOTH BELONG IN THE RECORD. (1) A real conflict of interest is documented: a prominent Epstein victims' attorney was retained by a man 10+ women accused of sexual assault, and he objected to a victim's journal claims as 'incredible' before being overruled. The corpus flags a conflict, not a crime. (2) In 2026 he and Brittany Henderson pushed courts to shut down the DOJ files site because it exposed victims, including minors — the sharpest expression of the 2026 tension in which transparency advocates and victims' counsel ended up partly on opposite sides. NO SANCTIONS OR ADVERSE FINDINGS AGAINST HIM.</t>
  </si>
  <si>
    <t xml:space="preserve">EFTA02731577, EFTA02731525, EFTA02731724, EFTA00039813</t>
  </si>
  <si>
    <t xml:space="preserve">https://wpde.com/news/nation-world/jeffrey-epstein-victims-lawyers-brittany-henderson-and-brad-edwards-urge-judges-to-order-shut-down-of-justice-department-files-website-privacy-redactions-minors-deputy-attorney-general-todd-blanche-ghislaine-maxwell
https://www.aol.com/articles/epstein-victims-lawyers-ask-court-025916261.html
https://www.kptv.com/2026/02/04/judge-deal-reached-protect-identities-epstein-victims-documents-release/</t>
  </si>
  <si>
    <t xml:space="preserve">P187</t>
  </si>
  <si>
    <t xml:space="preserve">Bradley Gillin</t>
  </si>
  <si>
    <t xml:space="preserve">• [alleged] No allegation of criminal conduct. Deutsche Bank compliance interface. Listed as a key Deutsche Bank contact for the 'Southern Financial Relationship' — compliance interface. The corpus gives no EFTA number for this.  (corpus: SHELL_COMPANIES / DEUTSCHE_BANK analysis (no EFTA number given))</t>
  </si>
  <si>
    <t xml:space="preserve">⚠ No EFTA citation in the corpus for this person.</t>
  </si>
  <si>
    <t xml:space="preserve">P188</t>
  </si>
  <si>
    <t xml:space="preserve">Brice Gordon</t>
  </si>
  <si>
    <t xml:space="preserve">Property manager of Little Saint James and Zorro Ranch; Tier 6 covers household and property staff.</t>
  </si>
  <si>
    <t xml:space="preserve">• [alleged] New Zealand national who, with his wife Karen Gordon, managed Little Saint James and Zorro Ranch. 11,000+ mentions across the EFTA files. Described LSJ as his 'new home' (2016). Extensive email correspondence with Epstein about guest logistics.  (EFTA releases (11,000+ mentions); Dataset 9 emails; NZ Herald Feb 2026)
• [alleged] Beneficiary of The 1953 Trust — $2,000,000, item 29 — subject to the two-year distribution hold and the 'disloyalty' forfeiture clause judged solely by Indyke and Kahn.  (EFTA01266204)</t>
  </si>
  <si>
    <t xml:space="preserve">• 2008: Part of the 70-person LSJ staff.
• 2016: Describes LSJ as his 'new home'.
• 2019-08-08: Named a $2M beneficiary of The 1953 Trust.</t>
  </si>
  <si>
    <t xml:space="preserve">No allegation of criminal conduct. His bequest, like all staff bequests, was subject to Section 2.5's employment cliff and the disloyalty forfeiture — the corpus's witness-control thesis.</t>
  </si>
  <si>
    <t xml:space="preserve">P189</t>
  </si>
  <si>
    <t xml:space="preserve">Brittany Henderson</t>
  </si>
  <si>
    <t xml:space="preserve">Victims' attorney (Edwards Henderson); Tier 6 covers attorneys on all sides.</t>
  </si>
  <si>
    <t xml:space="preserve">Alive. Partner, Edwards Henderson.</t>
  </si>
  <si>
    <t xml:space="preserve">• [alleged] No allegation. Victim's attorney, with Brad Edwards, notified of Maxwell proceedings.  (DS9: EFTA00039813)
• [alleged] In 2026 she and Brad Edwards formally urged federal judges to order the DOJ's Epstein files website shut down, arguing the posted material inadequately redacted victim identities, including minors.  (Reported Feb 2026)</t>
  </si>
  <si>
    <t xml:space="preserve">• 2019: Notified of Maxwell proceedings on behalf of a victim.
• 2026-02: Joins the application to shut down the DOJ files website over victim exposure.</t>
  </si>
  <si>
    <t xml:space="preserve">EFTA00039813</t>
  </si>
  <si>
    <t xml:space="preserve">https://wpde.com/news/nation-world/jeffrey-epstein-victims-lawyers-brittany-henderson-and-brad-edwards-urge-judges-to-order-shut-down-of-justice-department-files-website-privacy-redactions-minors-deputy-attorney-general-todd-blanche-ghislaine-maxwell</t>
  </si>
  <si>
    <t xml:space="preserve">P190</t>
  </si>
  <si>
    <t xml:space="preserve">Bruce E. Reinhart</t>
  </si>
  <si>
    <t xml:space="preserve">AUSA who left the Epstein prosecution office and immediately began representing Epstein's named co-conspirators and staff, later appointed U.S. Magistrate Judge in the same district; Tier 6 covers prosecutors, defence attorneys and judges. Specific documented misconduct places him among the accountability figures.</t>
  </si>
  <si>
    <t xml:space="preserve">prosecutor, attorney, judge</t>
  </si>
  <si>
    <t xml:space="preserve">The government formally admitted that while an AUSA he learned confidential, non-public information about the Epstein matter and discussed the matter with another AUSA working on it.</t>
  </si>
  <si>
    <t xml:space="preserve">never charged (status_verification.md, July 2026: 'Never charged with any crime'). No perjury prosecution followed the government's admission that his sworn statement was false.</t>
  </si>
  <si>
    <t xml:space="preserve">None known.</t>
  </si>
  <si>
    <t xml:space="preserve">NONE. He was appointed and later reappointed as a U.S. Magistrate Judge.</t>
  </si>
  <si>
    <t xml:space="preserve">Alive. U.S. Magistrate Judge, Southern District of Florida, as of July 2026. Still on the bench; was reappointed. status_verification.md found no verified 2026 Epstein development, investigation, complaint or recusal fight.</t>
  </si>
  <si>
    <t xml:space="preserve">Has not publicly commented on the Epstein-era criticism.</t>
  </si>
  <si>
    <t xml:space="preserve">• [admitted] While an AUSA he sought lead prosecutor Villafana's counsel on 'strategies for how to handle Epstein's personal assistants — whether they should be charged or if we should seek immunity for them.'  (EFTA00225378 p.114)
• [admitted] GOVERNMENT ADMISSION: '(a) The government admits that, while Bruce E. Reinhart was an Assistant U.S. Attorney, he learned confidential, non-public information about the Epstein matter. (b) The government admits that, while Bruce E. Reinhart was an Assistant U.S. Attorney, he discussed the Epstein matter with another Assistant U.S. Attorney working on the Epstein matter.' (July 19, 2013 responses to requests for admission)  (EFTA00068215, DE 213-1 at 9)
• [admitted] He had sworn in a declaration in the CVRA case (Jane Doe v. United States, 9:08-cv-80736) that 'I never learned any confidential, non-public information about the Epstein matter' — WHICH THE U.S. ATTORNEY'S OFFICE ADMITTED WAS FALSE. No perjury prosecution followed.  (EFTA00068215)
• [alleged] 'He left the U.S. Attorney's Office on Jan. 1, 2008, and went to work representing Epstein's employees on Jan. 2, 2008, court records show.' He represented Sarah Kellen, housekeeper Louella Ruboyo, and pilots Larry Morrison, Larry Visoski, David Rogers, William Hammond and Robert Roxburgh. 'On information and belief, Reinhart's representation of these individuals was paid, directly or indirectly, by Epstein.'  (EFTA00798522 p.24; EFTA00235751 p.21)
• [alleged] $84,234.39+ in documented JPMorgan wire transfers from Epstein to 'Bruce E Reinhart, PA' via Gulfstream Business Bank, plus an undisclosed amount on Jan 19, 2010.  (EFTA01483035; EFTA01578729; EFTA01579090; EFTA01483182; EFTA01581347; EFTA01483368; EFTA01483104; EFTA01483112)
• [alleged] His private office at 250 S. Australian Avenue, Suite 1400, West Palm Beach was in the same building and on the same floor as Epstein's lead defence counsel Jack Goldberger, and 'right next door to the Florida Science Foundation' — the Epstein-owned entity where Epstein spent his work release.  (EFTA00068215; EFTA00207880; EFTA00209299)
• [alleged] DOJ OPR 'and/or other Government entities have collected information about: (a) Bruce Reinhart's possible involvement in the Epstein matter.' No public action was taken.  (EFTA01657803 p.5)</t>
  </si>
  <si>
    <t xml:space="preserve">• 2007: As AUSA, discusses charging-versus-immunity strategy for Epstein's assistants with Villafana; tells her he is 'best friends' with Jack Goldberger (EFTA00225378 p.114).
• 2007-09-24: NPA signed — four months before his departure.
• 2008-01-01: Leaves the U.S. Attorney's Office.
• 2008-01-02: Begins representing Epstein's employees and named co-conspirators, including Sarah Kellen.
• 2009-06-23: First of the documented Epstein wire transfers ($25,000); payments run to March 2011, totalling $84,234.39+.
• 2011: Files the sworn declaration later admitted to be false.
• 2013-07-19: The U.S. Attorney's Office admits the statement was false (DE 213-1 at 9).
• 2015-12-28: Paul Cassell's calls begin; four calls through Jan 19, 2016 are never returned.
• 2016-02-17: Cassell files a formal CVRA complaint; the perjury referral is routed to the Puerto Rico USAO and bounced across four AUSAs, none of whom acted. The complaint is ultimately dismissed by the Justice Department.
• 2018: Appointed U.S. Magistrate Judge, Southern District of Florida — the same district.</t>
  </si>
  <si>
    <t xml:space="preserve">RECORD THE DOCUMENTED SEQUENCE, NOT AN INFERENCE. (1) As an AUSA he learned confidential non-public information about the Epstein matter and discussed charging-versus-immunity for Epstein's assistants. (2) He left the office on Jan 1, 2008 and began representing those same assistants on Jan 2, 2008, paid directly or indirectly by Epstein. (3) He swore he 'never learned any confidential, non-public information about the Epstein matter'. (4) THE GOVERNMENT ADMITTED THAT STATEMENT WAS FALSE (July 19, 2013). (5) NO PERJURY PROSECUTION FOLLOWED; the referral was routed away, bounced across four AUSAs and dismissed. (6) He was appointed U.S. Magistrate Judge in the same district. He is NOT alleged anywhere in the corpus to have participated in the abuse. The corpus calls this the most completely documented revolving-door failure in the record, every step evidenced by court filings, bank records, sworn testimony or government admissions.</t>
  </si>
  <si>
    <t xml:space="preserve">EFTA00225378, EFTA00068215, EFTA00798522, EFTA00235751, EFTA01483035, EFTA01578729, EFTA01579090, EFTA01483182, EFTA01581347, EFTA01483368, EFTA01483104, EFTA01483112, EFTA01657803, EFTA00207880, EFTA00209299, EFTA01001371, EFTA00729910</t>
  </si>
  <si>
    <t xml:space="preserve">https://www.flsd.uscourts.gov/content/judge-bruce-e-reinhart
https://api.politifact.com/factchecks/2022/sep/26/facebook-posts/judge-who-allowed-mar-lago-search-represented-epst</t>
  </si>
  <si>
    <t xml:space="preserve">P191</t>
  </si>
  <si>
    <t xml:space="preserve">Cano (surname only, Epstein 2014 Trust $35,000-$66,000 staff bracket)</t>
  </si>
  <si>
    <t xml:space="preserve">P192</t>
  </si>
  <si>
    <t xml:space="preserve">Carluz Toylo</t>
  </si>
  <si>
    <t xml:space="preserve">• [alleged] No allegation. Beneficiary of The 1953 Trust — $1,000,000, items 35-36 with Arline Toylo.  (EFTA01266204)</t>
  </si>
  <si>
    <t xml:space="preserve">P193</t>
  </si>
  <si>
    <t xml:space="preserve">Cecile Steen</t>
  </si>
  <si>
    <t xml:space="preserve">NYC scheduler in the FBI operational hierarchy; Tier 6 covers operational staff.</t>
  </si>
  <si>
    <t xml:space="preserve">scheduler, admin, employee</t>
  </si>
  <si>
    <t xml:space="preserve">never charged (corpus: no charge recorded); she is not among the four NPA-named women</t>
  </si>
  <si>
    <t xml:space="preserve">• [alleged] Appears in the FBI operational hierarchy as 'Cecile Steen (NYC scheduling, limited role).'  (EFTA01653420; EFTA01699906)</t>
  </si>
  <si>
    <t xml:space="preserve">Notably absent from the NPA's named four despite a scheduling role — though the NPA's 'including but not limited to' language would have covered her as a potential co-conspirator.</t>
  </si>
  <si>
    <t xml:space="preserve">EFTA01653420, EFTA01699906</t>
  </si>
  <si>
    <t xml:space="preserve">P194</t>
  </si>
  <si>
    <t xml:space="preserve">Cecile de Jongh</t>
  </si>
  <si>
    <t xml:space="preserve">Described in the corpus as Epstein's 'Office Manager' while serving as USVI First Lady; Tier 6 covers operations/administration.</t>
  </si>
  <si>
    <t xml:space="preserve">admin, employee</t>
  </si>
  <si>
    <t xml:space="preserve">Unknown; not covered by status_verification.md.</t>
  </si>
  <si>
    <t xml:space="preserve">• [alleged] Received $200,000 on December 29, 2015 from Epstein's Deutsche Bank accounts; 'Publicly reported as Epstein Office Manager during husband's governorship.'  (EFTA01681865 Exhibit P)</t>
  </si>
  <si>
    <t xml:space="preserve">• 2015-12-29: Receives $200,000.</t>
  </si>
  <si>
    <t xml:space="preserve">Listed by the corpus on its 'Suspect Watchlist Additions'. A 'de Jongh' also appears among the 1953 Trust staff bequest items 20-26 at $1M; the corpus does not state whether this is the same person and the records are NOT merged.</t>
  </si>
  <si>
    <t xml:space="preserve">P195</t>
  </si>
  <si>
    <t xml:space="preserve">Chairman James Comer</t>
  </si>
  <si>
    <t xml:space="preserve">Chairman of the House Oversight Committee conducting the 2026 Epstein depositions; Tier 6 covers congressional oversight figures.</t>
  </si>
  <si>
    <t xml:space="preserve">oversight</t>
  </si>
  <si>
    <t xml:space="preserve">n/a — investigator, not a subject.</t>
  </si>
  <si>
    <t xml:space="preserve">never charged. NOT IMPLICATED — he is an investigator, not a subject.</t>
  </si>
  <si>
    <t xml:space="preserve">Alive. Chairman, House Committee on Oversight and Accountability, as of July 2026.</t>
  </si>
  <si>
    <t xml:space="preserve">• 2025-09-19: Acosta testifies before House Oversight; Comer later asks him to clarify his testimony.
• 2026-01-21: Oversight votes to hold the Clintons in contempt after they initially refuse to appear; both reverse in early February and testify in late February.
• 2026-05: Sarah Kellen's transcribed interview; Comer calls it the 'most substantive' testimony yet and, with Republican members, formally asks DOJ to open investigations into three additional alleged abusers she named.
• 2026-06-26: Leon Black testifies voluntarily; Comer then issues two subpoenas requiring him to return under oath about three weeks later.
• 2026-07-21: Letter threatening to compel Alan Dershowitz's testimony by subpoena after Dershowitz failed to appear; Comer calls the non-appearance 'unacceptable'.</t>
  </si>
  <si>
    <t xml:space="preserve">https://oversight.house.gov/release/chairman-comer-issues-two-subpoenas-to-leon-black/
https://oversight.house.gov/wp-content/uploads/2026/07/Dershowitz-Letter-FINAL-7.21.26.pdf
https://oversight.house.gov/release/chairman-comer-and-republican-lawmakers-seek-doj-investigation-into-sexual-assault-allegations-made-during-epstein-investigation/</t>
  </si>
  <si>
    <t xml:space="preserve">P196</t>
  </si>
  <si>
    <t xml:space="preserve">Charles E. Samuels Jr.</t>
  </si>
  <si>
    <t xml:space="preserve">Bureau of Prisons leadership appearing in the institutional record; Tier 6 covers BOP staff.</t>
  </si>
  <si>
    <t xml:space="preserve">employee, oversight</t>
  </si>
  <si>
    <t xml:space="preserve">n/a — policy signatory or administrative appointer.</t>
  </si>
  <si>
    <t xml:space="preserve">never charged. NO ALLEGATIONS ARE MADE AGAINST THIS PERSON; they appear as a policy signatory or administrator.</t>
  </si>
  <si>
    <t xml:space="preserve">Bureau of Prisons Director. Approved P3420.11 (Standards of Employee Conduct, 2013) and P5521.06 (Searches policy, 2015) — the policy signatory establishing the standards MCC staff violated.</t>
  </si>
  <si>
    <t xml:space="preserve">EFTA00039156, EFTA00039208</t>
  </si>
  <si>
    <t xml:space="preserve">P197</t>
  </si>
  <si>
    <t xml:space="preserve">Chavez (surname only, Epstein 2014 Trust $35,000-$66,000 staff bracket)</t>
  </si>
  <si>
    <t xml:space="preserve">P198</t>
  </si>
  <si>
    <t xml:space="preserve">Contrin (surname only, Epstein 2014 Trust $500,000-$1,000,000 bracket)</t>
  </si>
  <si>
    <t xml:space="preserve">• [alleged] No allegation. Named beneficiary in the $500,000-$1,000,000 bracket of the Epstein 2014 Trust. The corpus characterizes the lower bracket as 'meaningful but not life-changing — creates loyalty without making silence obviously transactional.'  (EFTA01266380)</t>
  </si>
  <si>
    <t xml:space="preserve">P199</t>
  </si>
  <si>
    <t xml:space="preserve">Craig Pyes</t>
  </si>
  <si>
    <t xml:space="preserve">Media-adjacent witness or journalist whose statements document contemporaneous knowledge of the Brunel pattern; Tier 6 (broader ecosystem).</t>
  </si>
  <si>
    <t xml:space="preserve">journalist</t>
  </si>
  <si>
    <t xml:space="preserve">n/a — a source, not a participant.</t>
  </si>
  <si>
    <t xml:space="preserve">never charged. No allegation of any kind is made against this person.</t>
  </si>
  <si>
    <t xml:space="preserve">• [alleged] NO ALLEGATION AGAINST THIS PERSON. Investigative journalist. 'Brunel ranks among the sleaziest people in the fashion industry. We're talking about a conveyor belt, not a casting couch. Hundreds of girls were not only harassed but molested.' (EFTA01688916 p.21, confirmed across 10+ document copies)  (EFTA01688916; EFTA01480954)</t>
  </si>
  <si>
    <t xml:space="preserve">• 1988: The 1988 60 Minutes investigation and the surrounding industry accounts.</t>
  </si>
  <si>
    <t xml:space="preserve">EFTA01688916, EFTA01480954</t>
  </si>
  <si>
    <t xml:space="preserve">P200</t>
  </si>
  <si>
    <t xml:space="preserve">Cynthia Rodriguez</t>
  </si>
  <si>
    <t xml:space="preserve">• [alleged] No allegation of criminal conduct. AVP, KYC/compliance reviews, Deutsche Bank. Conducted KYC/compliance reviews on the Southern Financial Relationship entities. The corpus states no relationship between her and Alfredo Rodriguez or Ann Rodriguez — do not merge.  (EFTA01422395; EFTA01421286)</t>
  </si>
  <si>
    <t xml:space="preserve">EFTA01422395, EFTA01421286</t>
  </si>
  <si>
    <t xml:space="preserve">P201</t>
  </si>
  <si>
    <t xml:space="preserve">Darren K. Indyke</t>
  </si>
  <si>
    <t xml:space="preserve">Epstein's personal attorney, co-executor of the estate and co-trustee; Tier 6 expressly covers estate executors and attorneys.</t>
  </si>
  <si>
    <t xml:space="preserve">attorney, executor, trustee, admin, operations</t>
  </si>
  <si>
    <t xml:space="preserve">Knew everything about the estate's financial and witness-control architecture — he drafted and gatekept it, held seven simultaneous conflicting roles and was authorized signer on 15+ shell entities. The corpus records no evidence of his participation in, or awareness of, Epstein's criminal sexual conduct.</t>
  </si>
  <si>
    <t xml:space="preserve">As co-executor: the Epstein estate settled a lawsuit accusing its advisers of aiding sex trafficking (terms unverified). The estate also administered the Epstein Victims' Compensation Program and a prior $35 million settlement framework.</t>
  </si>
  <si>
    <t xml:space="preserve">None verified beyond reputational.</t>
  </si>
  <si>
    <t xml:space="preserve">Alive. Attorney; still co-executor of the Epstein estate as of July 2026. Deposed by House Oversight March 19, 2026; deposition video publicly released.</t>
  </si>
  <si>
    <t xml:space="preserve">Testified to the House Oversight Committee that he did not know about the abuse.</t>
  </si>
  <si>
    <t xml:space="preserve">• [alleged] Instructed an Epstein assistant not to speak with police: '[Indyke] told [the assistant] that if she ever needed help she should not talk to the police and that she should call him instead.' Listed in the prosecution memo's named-persons table for 'Told assistant not to talk to police; obstruction'. No obstruction charge was ever filed.  (EFTA02731082 pp.41,45)
• [alleged] Cash structuring admission recorded in a Suspicious Activity Report: 'Indyke presented the $7,500 check for cashing, and mentioned that he would be cashing the $4,000 check the next business day to avoid all the paperwork and going over his cash limit.' After being advised against withdrawing cash on consecutive days he withdrew $35,000 in a single transaction. Ten cash withdrawals over $10,000 from 2013-2018 totalling $800,000+.  (EFTA01656556; EFTA01681865 Exhibit J)
• [alleged] Routed $6.37M+ in co-conspirator legal defence payments and the unexplained $269,159 payment to Noam Chomsky through Darren K. Indyke PLLC.  (EFTA01681865 Exhibits M and P)
• [alleged] Accumulated seven simultaneous conflicting roles — personal attorney, trustee, cash beneficiary, loan-forgiveness beneficiary, blanket debt-cancellation beneficiary (extending to his spouse and entity), spouse real-estate beneficiary, nominee holder and amendment gatekeeper. 'There was no external check on any of these roles.'  (EFTA01266380; EFTA01266403; EFTA01266427; EFTA01266204; EFTA00027979)
• [alleged] Named with Richard D. Kahn as SOLE JUDGE of what constitutes 'disloyalty' under The 1953 Trust s.2.5(B), with beneficiaries losing all bequests for disloyalty within two years of Epstein's death. SDNY demanded written assurance eleven months after Epstein's death that the clause would not be used to intimidate witnesses.  (EFTA01266204; EFTA00031989)</t>
  </si>
  <si>
    <t xml:space="preserve">• 2006-12-27: Named trustee of the Butterfly Trust at settlement, with Kahn.
• 2014-11-18: Signs as trustee of the Epstein 2014 Trust; receives a $5M bequest plus loan forgiveness.
• 2015-05-01: Signs the Amendment and Restatement; blanket debt cancellation added for himself, his spouse Michelle Fern Saipher and Harlequin Dane LLC.
• 2015-09: Signs the First Amendment; $3M directed to his wife for 2 Kean Court, Livingston NJ; amendment power reduced so amendments need delivery to 'no less than one Trustee', making him effectively the sole gatekeeper.
• 2016-07: Structuring admission to a Deutsche Bank teller; SAR filed (EFTA01656556).
• 2019-01-18: Named trustee of 'The Jeffrey E. Epstein 2019 Trust'.
• 2019-08-08: The 2019 Trust restated as The 1953 Trust; he is the largest named beneficiary at $50,000,000 plus debt forgiveness.
• 2019-09-06: Will admitted to probate; authorized as co-executor.
• 2020-07-26: SDNY demands assurance that s.2.5(B) will not be used to intimidate witnesses (EFTA00031989).
• 2026-01-07: House Oversight Democrats force a vote to subpoena Indyke and Kahn (with Wexner).
• 2026-03-19: Deposed by House Oversight; Ranking Member Garcia issues a statement. Deposition video publicly released.</t>
  </si>
  <si>
    <t xml:space="preserve">OPERATOR, NOT A CLIENT OR ABUSER. The corpus states there is 'no evidence of his participation in or awareness of Epstein's criminal conduct'; the knowledge rating here is confined to the estate's financial and witness-control architecture. Documented minimum financial benefit under the 2014 Trust chain was $8.25M+ plus unquantified debt cancellation and ~$1.25M in trustee compensation; total entanglement across the 1953 Trust is stated to exceed $58M. Redaction anomaly: his name is never redacted across any trust version while seven female beneficiaries in the same bracket are fully redacted. The corpus flags a conditional tier reassessment if evidence emerges that he used his gatekeeper role to facilitate witness management, obstruction or asset concealment.</t>
  </si>
  <si>
    <t xml:space="preserve">EFTA02731082, EFTA01266380, EFTA01266403, EFTA01266427, EFTA01266204, EFTA00027979, EFTA00031989, EFTA01656556, EFTA01681865, EFTA01424842</t>
  </si>
  <si>
    <t xml:space="preserve">https://oversightdemocrats.house.gov/news/press-releases/ranking-member-robert-garcia-statement-on-deposition-of-epstein-lawyer-darren-indyke
https://www.pbs.org/newshour/nation/epsteins-former-attorney-testifies-to-house-committee-says-he-didnt-know-about-the-abuse
https://www.newsnationnow.com/politics/video-jeffrey-epstein-executors-indyke-kahn/</t>
  </si>
  <si>
    <t xml:space="preserve">P202</t>
  </si>
  <si>
    <t xml:space="preserve">David Gottlieb</t>
  </si>
  <si>
    <t xml:space="preserve">Victims' counsel appearing in the DS12 representation chain; Tier 6 covers attorneys.</t>
  </si>
  <si>
    <t xml:space="preserve">• [alleged] No allegation. Wigdor LLP attorney working on the Black victims' cases.  (DS12 (Wigdor correspondence / case history))</t>
  </si>
  <si>
    <t xml:space="preserve">EFTA02731577</t>
  </si>
  <si>
    <t xml:space="preserve">P203</t>
  </si>
  <si>
    <t xml:space="preserve">David Mitchell (trustee of the Epstein 2014 Trust)</t>
  </si>
  <si>
    <t xml:space="preserve">Named trustee across all versions of the Epstein 2014 Trust; Tier 6 expressly covers estate fiduciaries.</t>
  </si>
  <si>
    <t xml:space="preserve">Unknown. No resignation document for any trustee has been found in the EFTA corpus.</t>
  </si>
  <si>
    <t xml:space="preserve">• [alleged] No allegation of conduct. Named as one of three trustees in all versions: 'by and among JEFFREY E. EPSTEIN, as Grantor, and DARREN K. INDYKE, JAMES E. STALEY and DAVID MITCHELL, as Trustees.' Subject to the same $250K/year trustee compensation provision.  (EFTA01266380; EFTA01266403 s.6.2)
• [alleged] Manager of FT Real Estate Inc, a USVI corporation holding properties at 21 E 26th St and 183 Columbia Heights.  (corpus: SHELL_COMPANIES entity map; EFTA01681865 Exhibit S)</t>
  </si>
  <si>
    <t xml:space="preserve">• 2014-11-18: Named trustee in the original trust.
• 2015-05-01: Named trustee in the Amendment and Restatement.
• 2015-09: Amendment power reduced to delivery to one trustee, marginalizing his oversight role: 'the other two trustees — Staley and Mitchell — were effectively subordinate.'</t>
  </si>
  <si>
    <t xml:space="preserve">The least-documented of the three trustees. No allegation of conduct. Not to be confused with the 'Mitchell' surname on the March 2012 'Seminar-POWER' list, or with former Senator George Mitchell — the corpus gives no basis for linking them.</t>
  </si>
  <si>
    <t xml:space="preserve">EFTA01266380, EFTA01266403, EFTA01266427, EFTA01681865</t>
  </si>
  <si>
    <t xml:space="preserve">P204</t>
  </si>
  <si>
    <t xml:space="preserve">David Rodgers</t>
  </si>
  <si>
    <t xml:space="preserve">Epstein pilot who maintained the handwritten flight logs; Tier 6 covers pilots.</t>
  </si>
  <si>
    <t xml:space="preserve">pilot, employee, witness</t>
  </si>
  <si>
    <t xml:space="preserve">• [court-found] No allegation. Pilot for the Gulfstream IV and Boeing 727; maintained 118 pages of handwritten flight manifests (April 1991 - January 2006), entered as Government Exhibit 662-RR at the Maxwell trial. Testified that logging was not always complete: international flights required accurate documentation, domestic flights less rigorously.  (Maxwell trial Gov't Exhibit 662-RR; Dataset 11; flight logs)
• [alleged] Interviewed by the FBI; his PDA contact list included 'LESLIE GROFF - Executive Assistant to EPSTEIN' with her cell number. Listed among FBI-attended proffers with Groff and Visoski.  (EFTA01688746 pp.29,32; EFTA01656152)
• [alleged] Beneficiary of The 1953 Trust — $4,000,000, item 19. Represented by Bruce Reinhart, paid directly or indirectly by Epstein.  (EFTA01266204; EFTA00235751 p.21)</t>
  </si>
  <si>
    <t xml:space="preserve">• 1991-04: Flight logging begins; runs to January 2006.
• 2008-01-02: Represented by Reinhart.
• 2019-08-08: Named a $4M beneficiary of The 1953 Trust.
• 2021-12: Flight logs he maintained entered at the Maxwell trial.</t>
  </si>
  <si>
    <t xml:space="preserve">No allegation of abuse. The corpus uses two spellings, Rodgers and Rogers, for the same pilot; they are recorded as one person.</t>
  </si>
  <si>
    <t xml:space="preserve">EFTA01266204, EFTA00235751, EFTA01688746, EFTA01656152</t>
  </si>
  <si>
    <t xml:space="preserve">P205</t>
  </si>
  <si>
    <t xml:space="preserve">Delgado (surname only, Epstein 2014 Trust $35,000-$66,000 staff bracket)</t>
  </si>
  <si>
    <t xml:space="preserve">P206</t>
  </si>
  <si>
    <t xml:space="preserve">Det. Joseph Recarey</t>
  </si>
  <si>
    <t xml:space="preserve">Palm Beach Police Department detective who led the initial 2005 investigation; Tier 6 covers police.</t>
  </si>
  <si>
    <t xml:space="preserve">investigator</t>
  </si>
  <si>
    <t xml:space="preserve">He built the original case, identifying 21 victims by October 2005 and characterizing the operation as a 'sexual pyramid scheme'.</t>
  </si>
  <si>
    <t xml:space="preserve">never charged. NO ALLEGATIONS ARE MADE AGAINST HIM; he is the investigator whose work the federal outcome overrode.</t>
  </si>
  <si>
    <t xml:space="preserve">Deceased (May 2018, age 50).</t>
  </si>
  <si>
    <t xml:space="preserve">• 2005-03: Leads the Palm Beach PD investigation; describes the operation as a 'sexual pyramid scheme'.
• 2005-10: Has identified 21 victims.
• 2018-05: Dies, age 50, after a brief illness. 150+ commendations.</t>
  </si>
  <si>
    <t xml:space="preserve">P207</t>
  </si>
  <si>
    <t xml:space="preserve">Diane Sawyer</t>
  </si>
  <si>
    <t xml:space="preserve">n/a — a journalist, not a participant.</t>
  </si>
  <si>
    <t xml:space="preserve">• [alleged] NO ALLEGATION AGAINST THIS PERSON. CBS 60 Minutes correspondent. Conducted the 1988 CBS 60 Minutes investigation in which 'nearly two dozen models said they had been sexually assaulted by Brunel' (EFTA01480954). This 1988 broadcast is the corpus's earliest public documentation of the Brunel pattern — sixteen years before MC2 was founded and thirty-two years before any arrest.  (EFTA01688916; EFTA01480954)</t>
  </si>
  <si>
    <t xml:space="preserve">P208</t>
  </si>
  <si>
    <t xml:space="preserve">Dmitri Saks</t>
  </si>
  <si>
    <t xml:space="preserve">He documented the risk in writing and escalated it; his conduct is the escalation, not the failure.</t>
  </si>
  <si>
    <t xml:space="preserve">• [alleged] No allegation of criminal conduct. AML Compliance Officer, Deutsche Bank. Conducted Enhanced Due Diligence on Southern Financial LLC, finding Epstein sole ultimate beneficial owner and a registered sex offender, recording that 'by 2011, 40 underage girls had come forward with testimony of Epstein sexually assaulting them' and that 'Epstein managed to settle at least 17 lawsuits out of court'. He recommended: 'I approve this account with the condition to mark the relationship as High Risk... Therefore, I recommend escalating this case to the Americas Reputational Risk Committee for review and decision.' The ARRC met on Jan 30, 2015, approved the continued relationship, and NO MINUTES WERE TAKEN.  (EFTA01418996; EFTA00151495)</t>
  </si>
  <si>
    <t xml:space="preserve">EFTA01418996, EFTA00151495</t>
  </si>
  <si>
    <t xml:space="preserve">P209</t>
  </si>
  <si>
    <t xml:space="preserve">Donissaint (surname only in the corpus)</t>
  </si>
  <si>
    <t xml:space="preserve">• [alleged] No allegation. Beneficiary of The 1953 Trust — $1,000,000, among the 'Staff' beneficiaries at items 20-26.  (EFTA01266204)</t>
  </si>
  <si>
    <t xml:space="preserve">P210</t>
  </si>
  <si>
    <t xml:space="preserve">Dorothy Orlofsky</t>
  </si>
  <si>
    <t xml:space="preserve">Bank employee or financial administrator servicing Epstein accounts; Tier 6 covers bank employees.</t>
  </si>
  <si>
    <t xml:space="preserve">• [alleged] No allegation of any kind. Financial administrator referenced in the Bear Stearns ABS distribution accounting: 'NOTE A: (represents 2 months per Dorothy Orlofsky).' Likely an accountant or administrator tracking monthly distributions from the Bear Stearns Asset Backed Securities position.  (EFTA02674602)</t>
  </si>
  <si>
    <t xml:space="preserve">Recorded because the corpus carries them as entities. No conduct is alleged. Context: JPMorgan ran approximately $99M in active trading accounts across three Epstein entities for a registered sex offender.</t>
  </si>
  <si>
    <t xml:space="preserve">P211</t>
  </si>
  <si>
    <t xml:space="preserve">Douglas Wigdor</t>
  </si>
  <si>
    <t xml:space="preserve">Founding partner of Wigdor LLP, the firm representing 10+ Leon Black victims; Tier 6 covers attorneys on all sides.</t>
  </si>
  <si>
    <t xml:space="preserve">As to his firm's clients' accounts and litigation strategy.</t>
  </si>
  <si>
    <t xml:space="preserve">never charged (status_verification.md, July 2026)</t>
  </si>
  <si>
    <t xml:space="preserve">Wigdor LLP sanctioned April 2026 in Doe v. Black; the firm and Christensen ordered to pay the defendant's attorneys' fees. Case-terminating sanctions were DENIED and the underlying rape claim proceeds to trial. [VERIFIED FROM OPINION] Jane Doe v. Leon Black, 1:23-cv-06418 (JGLC), S.D.N.Y., opinion filed 23 Apr 2026 (2026 WL 1102540), ECF No. 388. Reconsideration denied 2 Jun 2026. Black seeks $1,622,916.70 in fees, fully briefed 25 Jun 2026, undecided. Wigdor has since withdrawn; plaintiff is now pro se.</t>
  </si>
  <si>
    <t xml:space="preserve">No disbarment or removal verified; the sanction is the fallout.</t>
  </si>
  <si>
    <t xml:space="preserve">Alive. Founding partner, Wigdor LLP — a leading plaintiff-side sexual harassment and discrimination firm representing multiple Epstein-related claimants.</t>
  </si>
  <si>
    <t xml:space="preserve">Unverified — no direct response located. The firm sought to withdraw from the Black case.</t>
  </si>
  <si>
    <t xml:space="preserve">• [alleged] No allegation of criminal conduct. Senior partner at Wigdor LLP; the firm represented 10+ Black victims and used ChatGPT to research Black's legal strategy.  (DS12: EFTA02731577; EFTA02731724; EFTA02731755)
• [court-found] SANCTIONED. In April 2026 Judge Jessica Clarke (S.D.N.Y.) sanctioned Wigdor LLP in Doe v. Leon Black; the firm and partner Jeanne Christensen were ordered to pay the defendant's attorneys' fees. The court found counsel lied repeatedly to the court and to opposing counsel about related litigation and directed the plaintiff to destroy a social media account.  (Doe v. Black (S.D.N.Y.), sanctions opinion Apr 25, 2026)</t>
  </si>
  <si>
    <t xml:space="preserve">• 2021: Wigdor LLP takes over representation of Black victims.
• 2026-04-25: Judge Jessica Clarke sanctions the firm and Christensen in Doe v. Black.</t>
  </si>
  <si>
    <t xml:space="preserve">Recorded neutrally: a leading victims' firm was found by a federal judge to have engaged in serious misconduct in an Epstein-adjacent case. That cuts against the investigation's own sourcing and is recorded honestly. It does not disprove the underlying allegation — the court expressly let the rape claim proceed.</t>
  </si>
  <si>
    <t xml:space="preserve">EFTA02731577, EFTA02731724, EFTA02731755</t>
  </si>
  <si>
    <t xml:space="preserve">https://reason.com/volokh/2026/04/25/judge-finds-epstein-related-plaintiff-lies-spoliation-and-lawyer-misconduct-in-rape-lawsuit-against-investor-leon-black/
https://news.bloomberglaw.com/litigation/wigdor-lawyer-in-leon-black-case-sanctioned-for-repeated-lies
https://www.aol.com/news/law-firm-sexual-assault-suit-222654166.html</t>
  </si>
  <si>
    <t xml:space="preserve">P212</t>
  </si>
  <si>
    <t xml:space="preserve">Drew X. Bailey</t>
  </si>
  <si>
    <t xml:space="preserve">• [alleged] No allegation of any kind. JPMorgan Chase employee. CC'd on the daily mark-to-market reports for Epstein entity accounts alongside the 'Barrett Team'.  (EFTA02673716)</t>
  </si>
  <si>
    <t xml:space="preserve">EFTA02673716</t>
  </si>
  <si>
    <t xml:space="preserve">P213</t>
  </si>
  <si>
    <t xml:space="preserve">Efrain Reyes</t>
  </si>
  <si>
    <t xml:space="preserve">Epstein's MCC cellmate, transferred out of the cell the day before Epstein's death; Tier 6 covers inmates/witnesses in the institutional record.</t>
  </si>
  <si>
    <t xml:space="preserve">• [alleged] No allegation. Epstein's cellmate at MCC, transferred out on August 9, 2019 — approximately 22 hours before Epstein's death — in what is described as a 'routine, pre-arranged transfer', with no replacement assigned despite a standing psychological staff directive. An FBI 302 documents his account.  (DOJ OIG Report; Reyes FBI 302; Dataset 8; EFTA02731790)</t>
  </si>
  <si>
    <t xml:space="preserve">• 2019-08-09: Transferred out of the cell, ~08:00, approximately 22 hours before Epstein's death.</t>
  </si>
  <si>
    <t xml:space="preserve">The Entity Database v2.0 names Epstein's cellmate as Efrain Reyes; the DS12 material refers to the cellmate without naming him. Treated as one person on that basis. DS12 Open Question #1: 'Who arranged Epstein's cellmate transfer on August 9? ... The timing — the day before Epstein's death — demands explanation.' No documentation of who scheduled the transfer is in the available records.</t>
  </si>
  <si>
    <t xml:space="preserve">⚠ Identification of the unnamed DS12 cellmate with Efrain Reyes rests on the Entity Database, not on a corpus statement.</t>
  </si>
  <si>
    <t xml:space="preserve">P214</t>
  </si>
  <si>
    <t xml:space="preserve">Elizabeth J. Ford</t>
  </si>
  <si>
    <t xml:space="preserve">She wrote the compliance conditions and they were never transmitted to the relationship team.</t>
  </si>
  <si>
    <t xml:space="preserve">• [alleged] No allegation of criminal conduct. Managing Director, Head of Compliance Americas, Deutsche Bank. Authored the three mandatory compliance conditions for the Epstein relationship, which 'were communicated to several senior Bank personnel, up to and including the Bank's CEO of the Americas. Inexplicably, however, they were apparently never communicated to all members of the Epstein relationship team.'  (EFTA01356506; EFTA00151495)</t>
  </si>
  <si>
    <t xml:space="preserve">EFTA01356506, EFTA00151495</t>
  </si>
  <si>
    <t xml:space="preserve">P215</t>
  </si>
  <si>
    <t xml:space="preserve">Erika Kellerhals</t>
  </si>
  <si>
    <t xml:space="preserve">USVI corporate lawyer, co-trustee of the Butterfly and Caterpillar Trusts and authorized signer on Southern Financial LLC; Tier 6 covers attorneys and fiduciaries.</t>
  </si>
  <si>
    <t xml:space="preserve">attorney, trustee, admin, operations</t>
  </si>
  <si>
    <t xml:space="preserve">Unknown; no charge, sanction or proceeding recorded in the corpus.</t>
  </si>
  <si>
    <t xml:space="preserve">• [alleged] One of five people who controlled all 30+ Epstein entities: co-trustee on the Butterfly and Caterpillar Trusts and authorized signer on Southern Financial LLC. The corpus's shell-company work describes a five-person signer pool (Indyke, Kahn, Groff, Kellerhals and one other) as 'the operational core of the estate' — all corporate amendments, bank account changes and financial transfers required at least one of the five.  (EFTA01424842; EFTA01421286)
• [alleged] With Harry Beller, replaced Kahn and Indyke as 'acting trustees' of the Butterfly Trust on December 9, 2014, and between January and April 2015 added Karyna Shuliak, Indyke, Kahn and five other women as beneficiaries.  (EFTA01681865)
• [alleged] Sought to dissolve the Financial Ballistics Trust in 2013. Beneficiary of The 1953 Trust — $2,000,000.  (EFTA01946052; EFTA01266204)</t>
  </si>
  <si>
    <t xml:space="preserve">• 2013: Requests dissolution of the Financial Ballistics Trust.
• 2014-12-09: Becomes acting Butterfly Trust trustee.
• 2015-01: Between January and April 2015 adds Shuliak, Indyke, Kahn and five other women as Butterfly Trust beneficiaries.
• 2019-08-08: Named a $2M beneficiary of The 1953 Trust.</t>
  </si>
  <si>
    <t xml:space="preserve">No allegation of criminal conduct is made against her anywhere in the corpus.</t>
  </si>
  <si>
    <t xml:space="preserve">EFTA01424842, EFTA01421286, EFTA01681865, EFTA01946052, EFTA01266204</t>
  </si>
  <si>
    <t xml:space="preserve">P216</t>
  </si>
  <si>
    <t xml:space="preserve">FBI Agent Richards</t>
  </si>
  <si>
    <t xml:space="preserve">FBI agent on the Epstein investigation; Tier 6 covers FBI personnel.</t>
  </si>
  <si>
    <t xml:space="preserve">never charged. NO ALLEGATIONS ARE MADE AGAINST THIS AGENT; they are an official doing their job.</t>
  </si>
  <si>
    <t xml:space="preserve">Unknown. Named only by surname in the corpus.</t>
  </si>
  <si>
    <t xml:space="preserve">• 2006: Operation Leap Year period.</t>
  </si>
  <si>
    <t xml:space="preserve">Named in FBI documents EFTA01245817 and EFTA00081180 where the same category of agent names is redacted elsewhere. Their appearance by name is itself a redaction-consistency data point: FBI agent names appear in some documents but are redacted in others.</t>
  </si>
  <si>
    <t xml:space="preserve">EFTA01245817, EFTA00081180, EFTA01657747</t>
  </si>
  <si>
    <t xml:space="preserve">P217</t>
  </si>
  <si>
    <t xml:space="preserve">FBI Special Agent Kuyrkendall</t>
  </si>
  <si>
    <t xml:space="preserve">As to the FBI investigation.</t>
  </si>
  <si>
    <t xml:space="preserve">Assigned to Operation Leap Year in 2006 (EFTA01657747); named in FBI documents (EFTA01245817, EFTA00081180) where other agent names are redacted. Their appearance by name is itself a redaction-consistency data point: FBI agent names appear in some documents but are redacted in others.</t>
  </si>
  <si>
    <t xml:space="preserve">P218</t>
  </si>
  <si>
    <t xml:space="preserve">Geoffrey S. Berman</t>
  </si>
  <si>
    <t xml:space="preserve">U.S. Attorney, SDNY, who received the December 2019 Epstein prosecution memo; Tier 6 covers prosecutors.</t>
  </si>
  <si>
    <t xml:space="preserve">As the recipient of the SDNY prosecution memo documenting 38 victim accounts.</t>
  </si>
  <si>
    <t xml:space="preserve">never charged. NO ALLEGATIONS ARE MADE AGAINST HIM in the corpus; he is an official who received a memo and was later dismissed.</t>
  </si>
  <si>
    <t xml:space="preserve">Alive. Former U.S. Attorney; not covered by status_verification.md for 2026.</t>
  </si>
  <si>
    <t xml:space="preserve">• 2019-12-19: Receives the SDNY prosecution memo (EFTA02731082).
• 2020-03: Signs the discovery letter in the Noel/Thomas case (19 Cr. 830), providing the MCC surveillance video roadmap with timestamps (EFTA00039416).
• 2020-06: Dismissed as U.S. Attorney in a public dispute with Attorney General Barr.</t>
  </si>
  <si>
    <t xml:space="preserve">The corpus flags the leadership transition as a POSSIBLE but UNESTABLISHED factor in case continuity, and does so explicitly inside a speculation block. Do not let proximity read as accusation.</t>
  </si>
  <si>
    <t xml:space="preserve">EFTA02731082, EFTA00039416</t>
  </si>
  <si>
    <t xml:space="preserve">P219</t>
  </si>
  <si>
    <t xml:space="preserve">Gulnom Tali</t>
  </si>
  <si>
    <t xml:space="preserve">Second witness to Epstein's will; Tier 6 covers legal/ministerial roles.</t>
  </si>
  <si>
    <t xml:space="preserve">• [alleged] No allegation. Second witness to Epstein's last will, executed at MCC on August 8, 2019.  (DS12 expansion, EFTA02731790 series)</t>
  </si>
  <si>
    <t xml:space="preserve">• 2019-08-08: Witnesses the will at MCC.</t>
  </si>
  <si>
    <t xml:space="preserve">P220</t>
  </si>
  <si>
    <t xml:space="preserve">Habibe Avdiu</t>
  </si>
  <si>
    <t xml:space="preserve">Notary public who notarized all three executions of the Epstein 2014 Trust; ministerial legal role, Tier 6.</t>
  </si>
  <si>
    <t xml:space="preserve">No evidence of any knowledge; a notary performing a ministerial function.</t>
  </si>
  <si>
    <t xml:space="preserve">• [alleged] No allegation. Notarized all three trust executions in Richmond County, New York.  (EFTA01266380 (Nov 18, 2014); EFTA01266403 (May 1, 2015); EFTA01266427 (~Sep 2015))</t>
  </si>
  <si>
    <t xml:space="preserve">• 2014-11-18: Notarizes the original trust.
• 2015-05-01: Notarizes the Amendment and Restatement.
• 2015-09: Notarizes the First Amendment.</t>
  </si>
  <si>
    <t xml:space="preserve">No allegation of any kind. The single-notary, single-county pattern across three executions is what the corpus uses to establish the continuity of Jes Staley's three trustee signatures.</t>
  </si>
  <si>
    <t xml:space="preserve">EFTA01266380, EFTA01266403, EFTA01266427</t>
  </si>
  <si>
    <t xml:space="preserve">P221</t>
  </si>
  <si>
    <t xml:space="preserve">Harry Beller</t>
  </si>
  <si>
    <t xml:space="preserve">Investment adviser, co-trustee of the Butterfly Trust and authorized signer on Southern Trust Company Inc; Tier 6 covers fiduciaries.</t>
  </si>
  <si>
    <t xml:space="preserve">trustee, banker, admin</t>
  </si>
  <si>
    <t xml:space="preserve">Unknown; no charge or proceeding recorded in the corpus.</t>
  </si>
  <si>
    <t xml:space="preserve">• [alleged] Investment adviser; co-trustee on the Butterfly Trust; authorized signer on Southern Trust Company Inc — one of the five-person signer pool controlling $577 million. Secondary signatory across Epstein accounts, associated with HBRK Associates.  (EFTA01424842; EFTA01681865)
• [alleged] With Kellerhals, replaced Kahn and Indyke as Butterfly Trust acting trustee (Dec 9, 2014) and added Shuliak, Indyke, Kahn and five other women as beneficiaries (Jan-Apr 2015).  (EFTA01681865; EFTA01421286)</t>
  </si>
  <si>
    <t xml:space="preserve">• 2014-12-09: Becomes acting Butterfly Trust trustee.
• 2015-01: Adds new Butterfly Trust beneficiaries, Jan-Apr 2015.</t>
  </si>
  <si>
    <t xml:space="preserve">No allegation of criminal conduct in the corpus.</t>
  </si>
  <si>
    <t xml:space="preserve">EFTA01424842, EFTA01681865, EFTA01421286</t>
  </si>
  <si>
    <t xml:space="preserve">P222</t>
  </si>
  <si>
    <t xml:space="preserve">Ivana Trump</t>
  </si>
  <si>
    <t xml:space="preserve">Recorded at Tier 6 as contextual only. NO ALLEGATION OF ANY KIND IS MADE AGAINST HER anywhere in the corpus.</t>
  </si>
  <si>
    <t xml:space="preserve">No knowledge of anything is alleged or implied.</t>
  </si>
  <si>
    <t xml:space="preserve">not applicable — no allegation</t>
  </si>
  <si>
    <t xml:space="preserve">Deceased (public knowledge; the corpus records no status for her).</t>
  </si>
  <si>
    <t xml:space="preserve">n/a — there is nothing to answer.</t>
  </si>
  <si>
    <t xml:space="preserve">• 1977: Married to Donald Trump 1977-1991; oversaw Trump Tower's interior design and moved into the penthouse on its 1983 completion — external research, not corpus documents.</t>
  </si>
  <si>
    <t xml:space="preserve">CRITICAL FRAMING CAUTION, AND THE REASON THIS RECORD EXISTS AT ALL. She appears in the corpus only in a 'Key External Context' block placed immediately after a victim's account of an unidentified 'blond beautiful woman' who approached the victim after an alleged assault. The corpus then records Ivana's hair colour, age and residence in the adjacent row, and elsewhere marks the identification '[SPECULATION — STRENGTHENED]'. THE CORPUS NOWHERE IDENTIFIES THE BLOND WOMAN AS IVANA TRUMP, AND THE VICTIM DOES NOT NAME HER. The adjacency and the selection of those particular attributes constitute an implied identification by layout, not a stated finding. This record exists to make that inferential structure visible so it is not inherited silently. She must not be carried in any published registry as an identified participant.</t>
  </si>
  <si>
    <t xml:space="preserve">⚠ Identification is corpus-author speculation, expressly labelled as such. Do not publish as an identified participant.</t>
  </si>
  <si>
    <t xml:space="preserve">P223</t>
  </si>
  <si>
    <t xml:space="preserve">Jack Goldberger</t>
  </si>
  <si>
    <t xml:space="preserve">Epstein's lead defence counsel in the Florida matter; Tier 6 covers defence attorneys.</t>
  </si>
  <si>
    <t xml:space="preserve">never charged (corpus: no proceeding recorded)</t>
  </si>
  <si>
    <t xml:space="preserve">• [alleged] No allegation of criminal conduct. Then-AUSA Bruce Reinhart told AUSA Villafana he was 'best friends' with Goldberger and could not discuss the case further; Reinhart's private law office was later in the same building and on the same floor as Goldberger's.  (EFTA00225378 p.114; EFTA00068215; EFTA00207880; EFTA00209299)
• [alleged] Named among the 'persons/entities affiliated with Jeffrey Epstein' whom Reinhart had contact with before leaving the U.S. Attorney's Office.  (EFTA01657803 p.4)</t>
  </si>
  <si>
    <t xml:space="preserve">• 2007: Lead defence counsel in the Florida matter.
• 2008-01-02: Reinhart begins practising on the same floor.</t>
  </si>
  <si>
    <t xml:space="preserve">is_operator is set false: he was defence counsel and part of the protection apparatus (branch legal-protection), but the corpus does not describe him as an operator of the Epstein enterprise.</t>
  </si>
  <si>
    <t xml:space="preserve">EFTA00225378, EFTA00068215, EFTA01657803</t>
  </si>
  <si>
    <t xml:space="preserve">P224</t>
  </si>
  <si>
    <t xml:space="preserve">Jack O'Donnell</t>
  </si>
  <si>
    <t xml:space="preserve">Former COO of Trump Plaza Casino (1987-1990) who says he reprimanded Trump and Epstein for bringing underage girls onto the casino floor; Tier 6 (witness / broader ecosystem).</t>
  </si>
  <si>
    <t xml:space="preserve">On his own account he observed the conduct and responded with a reprimand rather than a report; the corpus makes no knowledge finding.</t>
  </si>
  <si>
    <t xml:space="preserve">• [alleged] Witness account, not an accusation against him: he later told CNN that Epstein was Trump's 'best friend' during 1987-1990 and recounted reprimanding both for bringing underage girls onto the casino floor.  (Rolling Stone timeline; CNN)</t>
  </si>
  <si>
    <t xml:space="preserve">• 1987: Period as COO of Trump Plaza Casino, 1987-1990.</t>
  </si>
  <si>
    <t xml:space="preserve">SOURCE QUALITY CAUTION: this entry rests on secondary media (CNN via a Rolling Stone timeline), not an EFTA document. Under the project's evidence hierarchy that is context only, never primary evidence.</t>
  </si>
  <si>
    <t xml:space="preserve">P225</t>
  </si>
  <si>
    <t xml:space="preserve">Jack Scarola</t>
  </si>
  <si>
    <t xml:space="preserve">Victims' attorney (Searcy Denney Scarola Barnhart &amp; Shipley); Tier 6 covers attorneys.</t>
  </si>
  <si>
    <t xml:space="preserve">• [alleged] No allegation. Represents the victim added by the S2 superseding indictment in the Maxwell case. Separately quoted in the corpus as stating 'There is no evidence the President was involved in Epstein's schemes' — a statement recorded because it cuts against allegations elsewhere in the corpus.  (DS9: EFTA00039794; EFTA00039815)</t>
  </si>
  <si>
    <t xml:space="preserve">• 2020: Represents a Maxwell-case victim.</t>
  </si>
  <si>
    <t xml:space="preserve">EFTA00039794, EFTA00039815</t>
  </si>
  <si>
    <t xml:space="preserve">P226</t>
  </si>
  <si>
    <t xml:space="preserve">James C. Wills</t>
  </si>
  <si>
    <t xml:space="preserve">Former Acting Assistant Director, BOP Reentry Services Division. Appointed the psychological reconstruction team following Epstein's death.</t>
  </si>
  <si>
    <t xml:space="preserve">EFTA00039367</t>
  </si>
  <si>
    <t xml:space="preserve">P227</t>
  </si>
  <si>
    <t xml:space="preserve">Jay Lefkowitz</t>
  </si>
  <si>
    <t xml:space="preserve">Epstein defence counsel in the 2007 NPA negotiations; Tier 6 covers defence attorneys.</t>
  </si>
  <si>
    <t xml:space="preserve">He authored the defence immunity proposal naming the four assistants and asked the lead prosecutor to keep the agreement from becoming public.</t>
  </si>
  <si>
    <t xml:space="preserve">• [alleged] Authored the September 16, 2007 defence immunity proposal covering 'Sarah Kellen, Adriana Ross, Lesley Groff, and Nadia Marcinkova or any employee of N.E.S.'  (EFTA01186070)
• [alleged] To AUSA Villafana on the day the NPA was signed: 'Please do whatever you can to keep this from becoming public.'  (EFTA01186086)</t>
  </si>
  <si>
    <t xml:space="preserve">• 2007-09-16: Submits the defence immunity proposal.
• 2007-09-24: NPA signed; requests secrecy.</t>
  </si>
  <si>
    <t xml:space="preserve">The corpus's key structural finding is that the FINAL GOVERNMENT TEXT WAS BROADER than what Lefkowitz proposed — 'any potential co-conspirators' rather than only the four named women. The expansion came from the government's side, not the defence's. is_operator is set false: he was defence counsel and part of the protection apparatus (branch legal-protection), but the corpus does not describe him as an operator of the Epstein enterprise.</t>
  </si>
  <si>
    <t xml:space="preserve">EFTA01186070, EFTA01186086</t>
  </si>
  <si>
    <t xml:space="preserve">P228</t>
  </si>
  <si>
    <t xml:space="preserve">Jeanne M. Christensen</t>
  </si>
  <si>
    <t xml:space="preserve">Wigdor LLP partner and lead counsel for 10+ Leon Black victims; Tier 6 covers attorneys on all sides.</t>
  </si>
  <si>
    <t xml:space="preserve">As to her clients' accounts — she decoded the victim journals, assembled the bank statements and proffers, and pressed SDNY over three years.</t>
  </si>
  <si>
    <t xml:space="preserve">SANCTIONED, April 2026, Judge Jessica Clarke (S.D.N.Y.), Doe v. Black. Findings: she lied repeatedly to the court and to opposing counsel about related litigation, and directed the plaintiff to destroy a social media account; the plaintiff had falsified sonogram images in personal journals. Sanctions imposed: she must file the sanctions opinion in any Second Circuit case she appears in for one year; she and Wigdor LLP must pay the defendant's attorneys' fees; the plaintiff is barred from using the falsified journal entries at trial; and the jury will be instructed about the falsifications and the account deletion. CASE-TERMINATING SANCTIONS WERE DENIED — the court held lesser sanctions sufficed and THE RAPE CLAIM PROCEEDS TO TRIAL.</t>
  </si>
  <si>
    <t xml:space="preserve">The sanctions themselves (April 25, 2026). No disbarment verified. Wigdor LLP sought to withdraw from the Black case.</t>
  </si>
  <si>
    <t xml:space="preserve">Alive. Partner, Wigdor LLP, as of July 2026.</t>
  </si>
  <si>
    <t xml:space="preserve">Unverified — no direct response located. Wigdor LLP separately sought to withdraw from the Black case.</t>
  </si>
  <si>
    <t xml:space="preserve">• [alleged] No allegation of criminal conduct. She presented evidence repeatedly to SDNY and DANY from April 2021 — bank statements, victim proffers, journals, photographs — and 'never received a substantive response.'  (EFTA02731684; EFTA02731526; EFTA02731633; EFTA02731718)
• [alleged] On the second Black victim's independent corroboration: 'it is too abnormal to make up... There is nothing publicly out there about the details of his specific sex acts with our client, so there is no way she could know.'  (EFTA02731729)
• [alleged] On the settlement: 'Leon Black paid 62.5 million to USVI... it's outrageous that criminal charges have not been brought'; 'one lawyer represents ten women that he sexually assaulted.'  (EFTA02731484)
• [alleged] Reported to SDNY 'at least one video circulating on some disgusting sex site' — 6 men present, the victim with 3; 'One of them is a former friend of Leon Black's and both men likely knew JE.'  (EFTA02731515)
• [court-found] SANCTIONED. On April 25, 2026 Judge Jessica Clarke (S.D.N.Y.) sanctioned her in Doe v. Black, finding she 'lied repeatedly to the Court and to opposing counsel' about related litigation and directed the plaintiff to destroy a social media account. The court also found the plaintiff had falsified sonogram images in personal journals.  (Doe v. Black (S.D.N.Y.), sanctions opinion Apr 25, 2026)</t>
  </si>
  <si>
    <t xml:space="preserve">• 2021-04-22: First contacts the SDNY AUSA about Leon Black (EFTA02731684).
• 2021-05-27: Sends bank statements to SDNY (EFTA02731526).
• 2021-08-09: Reports the second, independent victim (EFTA02731729).
• 2023-05-26: Reports three victims including a minor (EFTA02731488).
• 2023-07-21: 'It's outrageous that criminal charges have not been brought' (EFTA02731484).
• 2024-05-30: Wigdor briefs SDNY on the journal authentication results (EFTA02731724).
• 2024-07-09: Marks her request 'urgent' (EFTA02731633; EFTA02731718).
• 2026-04-25: Judge Jessica Clarke sanctions her and Wigdor LLP in Doe v. Black.</t>
  </si>
  <si>
    <t xml:space="preserve">This record must be read whole and neutrally. The sanctions are serious and judicially found. They do NOT disprove the underlying allegation — the court expressly let the rape claim proceed to trial and denied case-terminating sanctions. They are, however, a genuine credibility problem for evidence sourced through that litigation, particularly the journal material; the project's Tier 1 expansion premised on 'forensically authenticated victim journals' needs auditing against this ruling.</t>
  </si>
  <si>
    <t xml:space="preserve">EFTA02731684, EFTA02731526, EFTA02731729, EFTA02731484, EFTA02731515, EFTA02731488, EFTA02731724, EFTA02731633, EFTA02731718, EFTA00156644</t>
  </si>
  <si>
    <t xml:space="preserve">P229</t>
  </si>
  <si>
    <t xml:space="preserve">Jeff Pagliuca</t>
  </si>
  <si>
    <t xml:space="preserve">P230</t>
  </si>
  <si>
    <t xml:space="preserve">Jeffrey S. Pop</t>
  </si>
  <si>
    <t xml:space="preserve">Attorney receiving an Epstein settlement-related payment; Tier 6 covers attorneys.</t>
  </si>
  <si>
    <t xml:space="preserve">• [alleged] No allegation. Received $10,000 from Epstein's Deutsche Bank accounts with the reference 'Doe 43 v Epstein et al' — within the corpus's settlement-payments category.  (EFTA01681865 Exhibit M)</t>
  </si>
  <si>
    <t xml:space="preserve">P231</t>
  </si>
  <si>
    <t xml:space="preserve">Jerome Bonnouvrier</t>
  </si>
  <si>
    <t xml:space="preserve">His own quoted statement shows contemporaneous industry knowledge of Brunel's conduct.</t>
  </si>
  <si>
    <t xml:space="preserve">• [alleged] NO ALLEGATION AGAINST THIS PERSON. Modeling agent. 'Jean-Luc likes drugs and silent rape.' (EFTA01480954) The quote establishes that Brunel's conduct was known within the modeling industry.  (EFTA01688916; EFTA01480954)</t>
  </si>
  <si>
    <t xml:space="preserve">P232</t>
  </si>
  <si>
    <t xml:space="preserve">John Casablancas</t>
  </si>
  <si>
    <t xml:space="preserve">• [alleged] NO ALLEGATION AGAINST THIS PERSON. Founder of Elite Models. Said Brunel 'should be behind bars' (EFTA01480954).  (EFTA01688916; EFTA01480954)</t>
  </si>
  <si>
    <t xml:space="preserve">P233</t>
  </si>
  <si>
    <t xml:space="preserve">Joseph Pagano</t>
  </si>
  <si>
    <t xml:space="preserve">Named successor trustee across all versions of the Epstein 2014 Trust; Tier 6 covers estate fiduciaries.</t>
  </si>
  <si>
    <t xml:space="preserve">• [alleged] No allegation. Named as one of three successor trustees in all versions of the trust.  (EFTA01266380; EFTA01266403; EFTA01266427)</t>
  </si>
  <si>
    <t xml:space="preserve">• 2014-11-18: Named successor trustee across all three trust versions.</t>
  </si>
  <si>
    <t xml:space="preserve">Single mention in the corpus; no allegation of conduct.</t>
  </si>
  <si>
    <t xml:space="preserve">P234</t>
  </si>
  <si>
    <t xml:space="preserve">Juan Alessi</t>
  </si>
  <si>
    <t xml:space="preserve">Household employee and house manager at the Palm Beach property; Tier 6 covers household staff.</t>
  </si>
  <si>
    <t xml:space="preserve">He warned Epstein to 'slow down' because 'these girls' would get him in trouble, and testified about the 58-page household manual instructing staff to 'see nothing, hear nothing, say nothing' — he knew enough to raise the alarm internally and was warned into silence.</t>
  </si>
  <si>
    <t xml:space="preserve">n/a — he is a witness, not an accused.</t>
  </si>
  <si>
    <t xml:space="preserve">• [alleged] No allegation against Alessi. He warned Epstein to 'slow down' because 'these girls' would get him in trouble; Epstein responded that it was fine and that 'these girls only care about money.'  (EFTA02731082 p.37)
• [alleged] On his departure Epstein told him: 'I hope you keep your mouth shut.'  (EFTA02731082 p.37)
• [court-found] Testified at the Maxwell trial about the 58-page household manual: 'Remember that you see nothing, hear nothing, say nothing,' describing the instructions as 'degrading' and a 'warning I was supposed to be blind, deaf and dumb.' He testified Maxwell was present '95% of the time.'  (Maxwell trial testimony; Entity Database v2.0)</t>
  </si>
  <si>
    <t xml:space="preserve">• 2002: Departs Epstein's employment; receives the 'keep your mouth shut' warning (EFTA02731082 p.37).
• 2021-12: Testifies at the Maxwell criminal trial about the household manual and Maxwell's constant presence.</t>
  </si>
  <si>
    <t xml:space="preserve">Staff and witness, not a client or an abuser. His account is the clearest documented instance of an employee raising the alarm internally and being warned into silence. Do not merge with the collective 'four non-victim witnesses' record — the corpus never states that Alessi is the house manager who saw 'hundreds' of girls.</t>
  </si>
  <si>
    <t xml:space="preserve">P235</t>
  </si>
  <si>
    <t xml:space="preserve">Judge Alison J. Nathan</t>
  </si>
  <si>
    <t xml:space="preserve">Then U.S. District Judge, S.D.N.Y.; presided over USA v. Maxwell (20 Cr. 330). Tier 6 covers judges.</t>
  </si>
  <si>
    <t xml:space="preserve">judge</t>
  </si>
  <si>
    <t xml:space="preserve">n/a — judicial officer.</t>
  </si>
  <si>
    <t xml:space="preserve">never charged. NO ALLEGATIONS ARE MADE AGAINST HER.</t>
  </si>
  <si>
    <t xml:space="preserve">Alive. Elevated to the U.S. Court of Appeals for the Second Circuit (public record); not covered by status_verification.md.</t>
  </si>
  <si>
    <t xml:space="preserve">• 2021: Rules on Maxwell pretrial motions: severs the perjury counts, denies the remaining defence motions (EFTA00039791, EFTA00039790).</t>
  </si>
  <si>
    <t xml:space="preserve">EFTA00039791, EFTA00039790</t>
  </si>
  <si>
    <t xml:space="preserve">P236</t>
  </si>
  <si>
    <t xml:space="preserve">Judge Analisa Torres</t>
  </si>
  <si>
    <t xml:space="preserve">U.S. District Judge, S.D.N.Y.; Tier 6 covers judges.</t>
  </si>
  <si>
    <t xml:space="preserve">Alive. Sitting federal judge; no change recorded.</t>
  </si>
  <si>
    <t xml:space="preserve">• 2021-12: Per the corpus, called Sarah Kellen 'a knowing participant in a criminal conspiracy' but could not charge her because of the NPA immunity.</t>
  </si>
  <si>
    <t xml:space="preserve">The corpus attributes the 'knowing participant' remark to her in connection with the Maxwell trial but gives NO EFTA citation for it. Verify before quoting. Note also that Judge Nathan, not Torres, is recorded elsewhere in the corpus as presiding over USA v. Maxwell.</t>
  </si>
  <si>
    <t xml:space="preserve">⚠ Quote attributed to Torres carries no EFTA citation in the corpus; presiding-judge attribution conflicts with the Nathan record.</t>
  </si>
  <si>
    <t xml:space="preserve">P237</t>
  </si>
  <si>
    <t xml:space="preserve">Judge Emmet G. Sullivan</t>
  </si>
  <si>
    <t xml:space="preserve">Senior U.S. District Judge, D.D.C.; presiding over the 2026 EFTA unredaction litigation. Tier 6 covers judges.</t>
  </si>
  <si>
    <t xml:space="preserve">never charged. NO ALLEGATIONS ARE MADE AGAINST HIM.</t>
  </si>
  <si>
    <t xml:space="preserve">Alive. Senior U.S. District Judge, D.D.C.; the 2026 unredaction fight is before him, not Judge Preska.</t>
  </si>
  <si>
    <t xml:space="preserve">• 2026-06-26: Orders DOJ to unredact additional material or justify each withholding, with a July 2, 2026 deadline. DOJ vows to appeal; Sullivan refuses to stay, noting EFTA required production by Dec 19, 2025. DOJ maintains it has already complied.
• 2026-07-02: Unredaction deadline.
• 2026-07-30: Deadline set for DOJ to produce evidence supporting its victim/law-enforcement redaction claims. Outcome UNVERIFIED as of July 31, 2026.
• 2026: Ordered release of FBI interview notes from an unnamed woman who alleged assault by Trump, as part of the unredaction order.</t>
  </si>
  <si>
    <t xml:space="preserve">https://www.forbes.com/sites/alisondurkee/2026/07/02/could-more-epstein-files-be-released-today-doj-faces-court-ordered-deadline-to-unredact-names/</t>
  </si>
  <si>
    <t xml:space="preserve">⚠ Outcome of the July 30, 2026 deadline unverified as of July 31, 2026.</t>
  </si>
  <si>
    <t xml:space="preserve">P238</t>
  </si>
  <si>
    <t xml:space="preserve">Judge Jed S. Rakoff</t>
  </si>
  <si>
    <t xml:space="preserve">Senior U.S. District Judge, S.D.N.Y.; presided over the JPMorgan settlement distribution and ordered the forensic examination of the victim journals. Tier 6 covers judges.</t>
  </si>
  <si>
    <t xml:space="preserve">never charged. NO ALLEGATIONS ARE MADE AGAINST HIM; he is a judicial officer doing his job.</t>
  </si>
  <si>
    <t xml:space="preserve">Alive. Senior U.S. District Judge, S.D.N.Y., as of July 2026.</t>
  </si>
  <si>
    <t xml:space="preserve">• 2024-03-15: A victim testifies before him; he is 'inclined to sustain the award' and orders forensic examination of her handwritten notebooks (EFTA02731724).
• 2024-04-15: Forensic examination completes: gel pen throughout, 'no evidence found for recent fabrication'.
• 2024-08-01: Issues the JPMC distribution order update; a victim letter to the court is the most recent communication in the DS12 chain (EFTA02731734).</t>
  </si>
  <si>
    <t xml:space="preserve">His order produced the single most consequential piece of evidence in the Black chain — forensic authentication of the journals — after which SDNY still took no action. status_verification.md could verify no 2026 Epstein-related ruling, controversy or development involving him, and the project's open question OQ-03 ('What was in Exhibit C sent to Judge Rakoff?') remains unresolved from open sources.</t>
  </si>
  <si>
    <t xml:space="preserve">EFTA02731640, EFTA02731724, EFTA02731734</t>
  </si>
  <si>
    <t xml:space="preserve">⚠ No qualifying 2026 source located for any Rakoff Epstein development.</t>
  </si>
  <si>
    <t xml:space="preserve">P239</t>
  </si>
  <si>
    <t xml:space="preserve">Judge Jessica G. L. Clarke</t>
  </si>
  <si>
    <t xml:space="preserve">U.S. District Judge, S.D.N.Y.; issued the April 2026 sanctions ruling in Doe v. Black. Tier 6 covers judges.</t>
  </si>
  <si>
    <t xml:space="preserve">Alive. U.S. District Judge, S.D.N.Y., as of July 2026.</t>
  </si>
  <si>
    <t xml:space="preserve">• 2026-04-25: Sanctions plaintiff's counsel Jeanne Christensen and Wigdor LLP in Doe v. Black: finds counsel lied repeatedly to the court and to opposing counsel and directed the destruction of a social media account; finds the plaintiff falsified sonogram images in journals; bars the falsified entries from trial; orders counsel to pay the defendant's fees; DENIES case-terminating sanctions and allows the rape claim to proceed to trial.</t>
  </si>
  <si>
    <t xml:space="preserve">P240</t>
  </si>
  <si>
    <t xml:space="preserve">Judge Loretta A. Preska</t>
  </si>
  <si>
    <t xml:space="preserve">Senior U.S. District Judge, S.D.N.Y.; presides over the Giuffre v. Maxwell unsealing docket (15 Cv. 7433). Tier 6 covers judges.</t>
  </si>
  <si>
    <t xml:space="preserve">never charged. NO ALLEGATIONS ARE MADE AGAINST HER; she is a judicial officer doing her job.</t>
  </si>
  <si>
    <t xml:space="preserve">• 2024-01: Ordered the successive releases of sealed Epstein-associate documents (the January 2024 tranche) and unsealing in the JPMorgan litigation.
• 2024: Unsealed phone messages 'for Leon' in the Maxwell civil case, referenced throughout the DS12 prosecution chain (EFTA02731655).</t>
  </si>
  <si>
    <t xml:space="preserve">For the record: a 2025 Jacobin piece alleged a conflict of interest involving Preska relating to the unrelated Donziger matter. That is advocacy commentary, not a finding, and no court or judicial-conduct body has acted on it. Note also the jurisdictional shift older files may not reflect — the 2026 unredaction fight moved to Judge Emmet Sullivan in D.D.C., not Preska.</t>
  </si>
  <si>
    <t xml:space="preserve">EFTA02731655</t>
  </si>
  <si>
    <t xml:space="preserve">https://www.courthousenews.com/judge-to-unseal-more-than-100-documents-in-epstein-related-civil-suit-against-jpmorgan-chase/
https://www.cbsnews.com/news/jeffrey-epstein-list-associates-unsealed-judge-rules/</t>
  </si>
  <si>
    <t xml:space="preserve">P241</t>
  </si>
  <si>
    <t xml:space="preserve">Judge Richard M. Berman</t>
  </si>
  <si>
    <t xml:space="preserve">U.S. District Judge, S.D.N.Y.; presided over USA v. Epstein (19 Cr. 490). Tier 6 covers judges.</t>
  </si>
  <si>
    <t xml:space="preserve">Alive. U.S. District Judge, S.D.N.Y.; not covered by status_verification.md for 2026.</t>
  </si>
  <si>
    <t xml:space="preserve">• 2019-07: Authors a 33-page bail denial order detailing danger to the community and flight risk (EFTA00039383).</t>
  </si>
  <si>
    <t xml:space="preserve">EFTA00039383</t>
  </si>
  <si>
    <t xml:space="preserve">P242</t>
  </si>
  <si>
    <t xml:space="preserve">Jules (surname only in the corpus)</t>
  </si>
  <si>
    <t xml:space="preserve">P243</t>
  </si>
  <si>
    <t xml:space="preserve">Karen Gordon</t>
  </si>
  <si>
    <t xml:space="preserve">Property manager of Little Saint James and Zorro Ranch with her husband Brice Gordon.</t>
  </si>
  <si>
    <t xml:space="preserve">• [alleged] New Zealand national who co-managed Little Saint James and Zorro Ranch; part of the 70-person LSJ staff (2008); guest logistics coordination.  (EFTA releases (11,000+ mentions); Dataset 9 emails; NZ Herald Feb 2026)</t>
  </si>
  <si>
    <t xml:space="preserve">No allegation of criminal conduct.</t>
  </si>
  <si>
    <t xml:space="preserve">P244</t>
  </si>
  <si>
    <t xml:space="preserve">Kathy Lindeman</t>
  </si>
  <si>
    <t xml:space="preserve">• [alleged] No allegation. Beneficiary of The 1953 Trust — $3,000,000, item 28.  (EFTA01266204)</t>
  </si>
  <si>
    <t xml:space="preserve">P245</t>
  </si>
  <si>
    <t xml:space="preserve">Ken Starr</t>
  </si>
  <si>
    <t xml:space="preserve">Defence-side attorney in Epstein's orbit; Tier 6 covers defence attorneys.</t>
  </si>
  <si>
    <t xml:space="preserve">• [alleged] No allegation of conduct. Named among 'persons/entities affiliated with Jeffrey Epstein' with whom then-AUSA Bruce Reinhart had contact before leaving the U.S. Attorney's Office. This is the only information about this person in the corpus.  (EFTA01657803 p.4; EFTA00205329; EFTA00208171)</t>
  </si>
  <si>
    <t xml:space="preserve">• 2007: Contact with then-AUSA Reinhart, pre-2008.</t>
  </si>
  <si>
    <t xml:space="preserve">EFTA01657803, EFTA00205329, EFTA00208171</t>
  </si>
  <si>
    <t xml:space="preserve">P246</t>
  </si>
  <si>
    <t xml:space="preserve">Kimberly Hart</t>
  </si>
  <si>
    <t xml:space="preserve">• [alleged] No allegation of criminal conduct. Managing Director, Divisional Control Officer, Deutsche Bank. Asked basic due diligence questions in October 2018 — five years into the relationship — including why the Hoffenberg suit was brought, what Epstein's representatives said, why claims were dismissed, and whether 'Andrew [Gallivan]' had reviewed and was comfortable maintaining the relationship.  (EFTA01422803)</t>
  </si>
  <si>
    <t xml:space="preserve">P247</t>
  </si>
  <si>
    <t xml:space="preserve">Larry Eugene Morrison</t>
  </si>
  <si>
    <t xml:space="preserve">Epstein pilot and deposition witness; Tier 6 covers pilots.</t>
  </si>
  <si>
    <t xml:space="preserve">His sworn testimony expressly disclaims knowledge: asked whether he had 'any knowledge of Bill Richardson being involved with any of the gals that would have been brought to the house', he answered 'Oh, no, no, not that I have.'</t>
  </si>
  <si>
    <t xml:space="preserve">• [alleged] No allegation against him. Testified under oath that Bill Richardson was at Zorro Ranch: 'He was at Ranch Central. He had been invited for dinner, or something, at the main house and they were coming down to get him.'  (EFTA01247021 (deposition Oct 6, 2009) pp.167-169)
• [alleged] Epstein pilot represented in civil suits by Bruce Reinhart; representation 'paid, directly or indirectly, by Epstein.'  (EFTA00235751 p.21)</t>
  </si>
  <si>
    <t xml:space="preserve">• 2007-02: Stops flying for Epstein — 'I quit flying in February of 07'.
• 2009-10-06: Deposed.</t>
  </si>
  <si>
    <t xml:space="preserve">The corpus limits his testimony explicitly: he was NOT present at the dinner itself and has no knowledge of what happened there. His recollection that Richardson formerly owned the ranch land is corrected by the corpus to Bruce King.</t>
  </si>
  <si>
    <t xml:space="preserve">EFTA01247021, EFTA00235751</t>
  </si>
  <si>
    <t xml:space="preserve">P248</t>
  </si>
  <si>
    <t xml:space="preserve">Laura Menninger</t>
  </si>
  <si>
    <t xml:space="preserve">• [alleged] No allegation. Partner, Haddon Morgan &amp; Foreman; Maxwell defence attorney. Requested a 120-180 day trial adjournment and filed redaction conferral correspondence.  (DS9: EFTA00039816; EFTA00039820; EFTA00039420)</t>
  </si>
  <si>
    <t xml:space="preserve">P249</t>
  </si>
  <si>
    <t xml:space="preserve">Lauren Phillips</t>
  </si>
  <si>
    <t xml:space="preserve">Identified in the corpus as an SDNY Assistant U.S. Attorney; Tier 6 covers prosecutors.</t>
  </si>
  <si>
    <t xml:space="preserve">Her name was identified through email header metadata in EFTA02731783 while redacted in the body text — part of the corpus's redaction-failure pattern in which metadata was not scrubbed consistently with body redactions. That is a disclosure finding, not an adverse fact about her.</t>
  </si>
  <si>
    <t xml:space="preserve">EFTA02731783</t>
  </si>
  <si>
    <t xml:space="preserve">⚠ Name known only through a metadata leak; verify against the primary document before publication.</t>
  </si>
  <si>
    <t xml:space="preserve">P250</t>
  </si>
  <si>
    <t xml:space="preserve">Lawrence Visoski Jr</t>
  </si>
  <si>
    <t xml:space="preserve">Epstein's chief pilot; the corpus tier legend expressly places pilots at Tier 6.</t>
  </si>
  <si>
    <t xml:space="preserve">pilot, employee, operations, witness</t>
  </si>
  <si>
    <t xml:space="preserve">The corpus expressly identifies him among 'inner-circle bequests with operational knowledge' but records no finding on what he knew about the abuse.</t>
  </si>
  <si>
    <t xml:space="preserve">• [alleged] No allegation of abuse. Appears as legal representative on aircraft and foundation accounts in the Deutsche Bank signer records, and in the Bank of America entity/individual listing alongside 'various co-conspirators.'  (EFTA01681865; EFTA01681865 Exhibit S)
• [alleged] Beneficiary of The 1953 Trust — $10,000,000 plus debt forgiveness, item 11; Southern Financial LLC loans to him are forgiven by the trust.  (EFTA01266204)
• [alleged] Represented by Bruce Reinhart, whose representation of Epstein's pilots was 'paid, directly or indirectly, by Epstein.'  (EFTA00235751 p.21)
• [alleged] Listed among 'FBI-attended Proffers' alongside Lesley Groff and David Rodgers.  (EFTA01656152)</t>
  </si>
  <si>
    <t xml:space="preserve">• 2008-01-02: Represented by Reinhart from the day after Reinhart left the U.S. Attorney's Office.
• 2019-08-08: Named a $10M beneficiary of The 1953 Trust, item 11.
• 2021-12: Testified at the Maxwell criminal trial (public record).</t>
  </si>
  <si>
    <t xml:space="preserve">The $10M bequest combined with the Section 2.5(B) 'disloyalty' forfeiture clause makes him one of the highest-exposure witness-incentive cases in the trust structure. No allegation of abuse or trafficking participation is made against him anywhere in the corpus.</t>
  </si>
  <si>
    <t xml:space="preserve">EFTA01266204, EFTA01681865, EFTA00235751, EFTA01656152</t>
  </si>
  <si>
    <t xml:space="preserve">P251</t>
  </si>
  <si>
    <t xml:space="preserve">Leah Saxtein</t>
  </si>
  <si>
    <t xml:space="preserve">Identified in the corpus as the DANY Assistant District Attorney who initially communicated with SDNY about the Black investigation; Tier 6 covers prosecutors.</t>
  </si>
  <si>
    <t xml:space="preserve">As to DANY's Black investigation.</t>
  </si>
  <si>
    <t xml:space="preserve">• 2021: Initial DANY-SDNY communications about the Black investigation, 2021-2023.</t>
  </si>
  <si>
    <t xml:space="preserve">Named in EFTA02731623. The corpus notes DANY 'identified potential targets and made an Additional HT Subject Referral' but lacked federal jurisdiction to bring them independently — the DANY prosecutors are recorded as the side that pushed, not the side that declined.</t>
  </si>
  <si>
    <t xml:space="preserve">EFTA02731623</t>
  </si>
  <si>
    <t xml:space="preserve">P252</t>
  </si>
  <si>
    <t xml:space="preserve">Lily Ann Sanchez</t>
  </si>
  <si>
    <t xml:space="preserve">P253</t>
  </si>
  <si>
    <t xml:space="preserve">Linda Lacewell</t>
  </si>
  <si>
    <t xml:space="preserve">Superintendent of the New York State Department of Financial Services who imposed the Deutsche Bank penalty; Tier 6 covers regulators.</t>
  </si>
  <si>
    <t xml:space="preserve">investigator, oversight</t>
  </si>
  <si>
    <t xml:space="preserve">n/a — enforcing regulator.</t>
  </si>
  <si>
    <t xml:space="preserve">never charged. NO ALLEGATIONS ARE MADE AGAINST HER; she is the enforcing regulator.</t>
  </si>
  <si>
    <t xml:space="preserve">• 2020-07-06: NYDFS imposes a $150 million penalty on Deutsche Bank; the consent order finds 'the Bank inexcusably failed to detect or prevent millions of dollars of suspicious transactions.'</t>
  </si>
  <si>
    <t xml:space="preserve">The corpus's framing of the outcome she produced: 'The $150 million fine represents 0.3% of Deutsche Bank's 2019 revenue. The Epstein relationship generated an estimated $8-20M+ in revenue over five years. The fine was a cost of doing business.' That is a comment on the remedy, not on her.</t>
  </si>
  <si>
    <t xml:space="preserve">EFTA00151495, EFTA00161594</t>
  </si>
  <si>
    <t xml:space="preserve">P254</t>
  </si>
  <si>
    <t xml:space="preserve">Lisa Bloom</t>
  </si>
  <si>
    <t xml:space="preserve">Attorney for the 'Katie Johnson' plaintiff; Tier 6 covers attorneys.</t>
  </si>
  <si>
    <t xml:space="preserve">• [alleged] No allegation. Stated that the 'Katie Johnson' plaintiff received multiple threats before voluntarily dismissing her suit on November 4, 2016.  (Court record; Newsweek, via TRUMP_EPSTEIN_TIMELINE)</t>
  </si>
  <si>
    <t xml:space="preserve">• 2016-11-04: Case voluntarily dismissed; she states the plaintiff received multiple threats.</t>
  </si>
  <si>
    <t xml:space="preserve">Her statement is the sole corpus basis for the threats claim; the corpus records it without resolving it.</t>
  </si>
  <si>
    <t xml:space="preserve">P255</t>
  </si>
  <si>
    <t xml:space="preserve">Liston Abramson</t>
  </si>
  <si>
    <t xml:space="preserve">• [alleged] No allegation. Prior attorney in the victim representation chain, preceding Horowitz and Wigdor LLP.  (DS12 (Wigdor correspondence / case history))</t>
  </si>
  <si>
    <t xml:space="preserve">P256</t>
  </si>
  <si>
    <t xml:space="preserve">Louella Ruboyo</t>
  </si>
  <si>
    <t xml:space="preserve">Epstein's housekeeper; Tier 6 covers household staff.</t>
  </si>
  <si>
    <t xml:space="preserve">unknown as of July 2026</t>
  </si>
  <si>
    <t xml:space="preserve">• [alleged] Epstein's housekeeper, represented in civil suits by Bruce Reinhart; 'On information and belief, Reinhart's representation of these individuals was paid, directly or indirectly, by Epstein.'  (EFTA00235751 p.21)</t>
  </si>
  <si>
    <t xml:space="preserve">• 2008-01-02: Represented by Reinhart from the day after he left the U.S. Attorney's Office.</t>
  </si>
  <si>
    <t xml:space="preserve">EFTA00235751</t>
  </si>
  <si>
    <t xml:space="preserve">P257</t>
  </si>
  <si>
    <t xml:space="preserve">Luciano Fontanilla Jr</t>
  </si>
  <si>
    <t xml:space="preserve">• [alleged] No allegation. Beneficiary of The 1953 Trust — $3,000,000 plus the property at 18 Teneyck Ave, Valley Stream NY, item 13. The Valley Stream property is held by Lyn &amp; Jojo LLC, 100% owned by Epstein with membership interests held by Indyke as nominee.  (EFTA01266204)</t>
  </si>
  <si>
    <t xml:space="preserve">P258</t>
  </si>
  <si>
    <t xml:space="preserve">Marc Weinstein</t>
  </si>
  <si>
    <t xml:space="preserve">Estate counsel at Hughes Hubbard &amp; Reed; Tier 6 covers attorneys.</t>
  </si>
  <si>
    <t xml:space="preserve">• [alleged] No allegation against him. Responded to SDNY's demand regarding The 1953 Trust s.2.5(B): 'Section 2.5(B) of The 1953 Trust has not been and will not be used by the Co-Executors to suggest that any current or former employee who chooses to meet or provide information to law enforcement... will be retaliated against in any way, or will lose any employment benefit, or any other benefit, inheritance, or bequest under the 1953 Trust.'  (EFTA00031989 (July 27, 2020))</t>
  </si>
  <si>
    <t xml:space="preserve">• 2020-07-27: Provides the written assurance to SDNY.</t>
  </si>
  <si>
    <t xml:space="preserve">The corpus's observation: the promise came ELEVEN MONTHS after Epstein's death — during which the clause was operative and unchallenged. That SDNY had to extract the promise at all confirms they recognized the clause's chilling effect.</t>
  </si>
  <si>
    <t xml:space="preserve">EFTA00031989</t>
  </si>
  <si>
    <t xml:space="preserve">P259</t>
  </si>
  <si>
    <t xml:space="preserve">Marius Robert Fortelni</t>
  </si>
  <si>
    <t xml:space="preserve">REFERENCE ONLY. A real Austrian citizen whose identity was used on the false passport in Epstein's safe; not an Epstein associate.</t>
  </si>
  <si>
    <t xml:space="preserve">No awareness of any kind is alleged or implied; he is a victim of identity use.</t>
  </si>
  <si>
    <t xml:space="preserve">not applicable — he is a subject of identity use, not a participant</t>
  </si>
  <si>
    <t xml:space="preserve">• [alleged] NO ALLEGATION WHATSOEVER. A real Austrian citizen, corresponding to records in FBI Sentinel and DIVS, whose name appeared on the Austrian passport bearing Epstein's photograph seized from Epstein's safe. Investigators 'looked into the real Fortelni, who had reportedly resided in Saudi Arabia.'  (EFTA01656330; EFTA01656317; EFTA01656298; EFTA00021576; EFTA00025539)</t>
  </si>
  <si>
    <t xml:space="preserve">• 1980: The passport in his name bears 1980s travel stamps for France, Spain, the UK and Saudi Arabia (EFTA00016172).
• 2019-07-06: Passport seized from Epstein's safe, evidence item 1B76.</t>
  </si>
  <si>
    <t xml:space="preserve">REFERENCE ONLY, per the corpus's own instruction. He must not be presented as an Epstein associate. Open question: whether the Austrian passport was state-issued and, if so, at whose request — unresolved. Epstein's defence claimed the passport was a gift from a friend and had 'expired 32 years ago.'</t>
  </si>
  <si>
    <t xml:space="preserve">EFTA01656330, EFTA01656317, EFTA01656298, EFTA00021576, EFTA00025539, EFTA00016172</t>
  </si>
  <si>
    <t xml:space="preserve">P260</t>
  </si>
  <si>
    <t xml:space="preserve">Mehmet Beskardes</t>
  </si>
  <si>
    <t xml:space="preserve">Immigration counsel receiving Epstein payments referencing foreign women; Tier 6 covers attorneys.</t>
  </si>
  <si>
    <t xml:space="preserve">• [alleged] No allegation of knowledge or misconduct is made against him. Received 'numerous payments' from Epstein accounts with wire details 'frequently referenc[ing] foreign women who have received payments from Epstein.'  (EFTA01681865 Exhibit I)</t>
  </si>
  <si>
    <t xml:space="preserve">Flagged only because his payments sit inside the bank's 'Ostensible Foreign Models' exhibit. The corpus documents the payments and makes no allegation against him.</t>
  </si>
  <si>
    <t xml:space="preserve">P261</t>
  </si>
  <si>
    <t xml:space="preserve">Meredith Firetog</t>
  </si>
  <si>
    <t xml:space="preserve">P262</t>
  </si>
  <si>
    <t xml:space="preserve">Merwin Dela Cruz</t>
  </si>
  <si>
    <t xml:space="preserve">• [alleged] No allegation. Beneficiary of The 1953 Trust — $3,000,000, item 14.  (EFTA01266204)</t>
  </si>
  <si>
    <t xml:space="preserve">P263</t>
  </si>
  <si>
    <t xml:space="preserve">Michael Danchuk</t>
  </si>
  <si>
    <t xml:space="preserve">CC'd on victim notification emails in the Maxwell case; role unclear, likely attorney or victim advocate.</t>
  </si>
  <si>
    <t xml:space="preserve">• [alleged] No allegation. CC'd on victim notification emails in the Maxwell case; role unclear in the corpus.  (DS9: EFTA00039794)</t>
  </si>
  <si>
    <t xml:space="preserve">EFTA00039794</t>
  </si>
  <si>
    <t xml:space="preserve">⚠ Role not established by the corpus.</t>
  </si>
  <si>
    <t xml:space="preserve">P264</t>
  </si>
  <si>
    <t xml:space="preserve">Michael Thomas</t>
  </si>
  <si>
    <t xml:space="preserve">MCC Special Housing Unit correctional officer on duty the night of Epstein's death; Tier 6 covers BOP staff.</t>
  </si>
  <si>
    <t xml:space="preserve">unknown as to any wider scheme; he admitted the rounds were not done.</t>
  </si>
  <si>
    <t xml:space="preserve">charges dropped: same November 2019 SDNY charges as Noel, same May 2021 deferred prosecution agreement, same January 2022 dismissal. NO CONVICTION. Not incarcerated. (status_verification.md, July 2026)</t>
  </si>
  <si>
    <t xml:space="preserve">No longer a federal correctional officer.</t>
  </si>
  <si>
    <t xml:space="preserve">Alive. Private citizen; further detail unverified.</t>
  </si>
  <si>
    <t xml:space="preserve">Same deferred prosecution posture as Noel.</t>
  </si>
  <si>
    <t xml:space="preserve">• [alleged] Charged November 2019 (SDNY) as co-defendant with Tova Noel with falsifying records and conspiracy relating to the night of Epstein's death.  (SDNY 19 Cr. 830)
• [admitted] Told a lieutenant 'we messed up, followed by I messed up, she's not to blame we didn't do any rounds.' Same refusal to write a memo.  (DS9: EFTA00039357; EFTA02731790)</t>
  </si>
  <si>
    <t xml:space="preserve">• 2019-08-10: On duty at the MCC SHU; rounds not completed; Epstein found dead.
• 2019-11: Charged in SDNY.
• 2021-05-25: Deferred prosecution agreement approved.
• 2022-01: Charges formally dismissed.</t>
  </si>
  <si>
    <t xml:space="preserve">EFTA00039357, EFTA02731790</t>
  </si>
  <si>
    <t xml:space="preserve">https://www.cnbc.com/2021/05/25/judge-approves-deferred-prosecution-deal-for-epstein-jail-guards.html
https://www.kgns.tv/2022/01/04/judge-orders-charges-dropped-against-epstein-jail-guards/
https://en.wikipedia.org/wiki/Death_of_Jeffrey_Epstein</t>
  </si>
  <si>
    <t xml:space="preserve">P265</t>
  </si>
  <si>
    <t xml:space="preserve">Michael Vila</t>
  </si>
  <si>
    <t xml:space="preserve">• [alleged] No allegation of criminal conduct. AML Team Manager, Deutsche Bank. Cleared an RDC alert on Richard Kahn based on Kahn's own self-attestation: 'AML Compliance finds these statements made by our Mr. Kahn reasonable evidence, and clears this alert as a false positive.' The alert concerned a Richard Kahn banned from NYSE Arca.  (EFTA01421789)</t>
  </si>
  <si>
    <t xml:space="preserve">EFTA01421789</t>
  </si>
  <si>
    <t xml:space="preserve">P266</t>
  </si>
  <si>
    <t xml:space="preserve">Nicole Simmons</t>
  </si>
  <si>
    <t xml:space="preserve">• [alleged] No allegation. Maxwell case team member; CC'd on case correspondence. The corpus does not establish whether she was defence- or prosecution-side.  (DS9: EFTA00039816; EFTA00039820; EFTA00039420)</t>
  </si>
  <si>
    <t xml:space="preserve">P267</t>
  </si>
  <si>
    <t xml:space="preserve">Pam Bondi</t>
  </si>
  <si>
    <t xml:space="preserve">U.S. Attorney General during the EFTA release fight; Tier 6 covers DOJ officials.</t>
  </si>
  <si>
    <t xml:space="preserve">prosecutor, oversight</t>
  </si>
  <si>
    <t xml:space="preserve">As Attorney General during the release-management dispute.</t>
  </si>
  <si>
    <t xml:space="preserve">Fired as Attorney General by Trump on April 2, 2026, amid the document-release fight.</t>
  </si>
  <si>
    <t xml:space="preserve">Alive. Former U.S. Attorney General; fired April 2, 2026.</t>
  </si>
  <si>
    <t xml:space="preserve">no public response found in the sources reviewed</t>
  </si>
  <si>
    <t xml:space="preserve">• [alleged] 'AG Bondi, at Trump's urging, orders Manhattan U.S. Attorney to investigate Epstein's ties to Trump's political opponents — despite FBI's own finding of no predicate.' The FBI had internally concluded in July 2025: 'We did not uncover evidence that could predicate an investigation against uncharged third parties.'  (EFTA01655527 (FBI Daily News Briefing, 11/17/2025))</t>
  </si>
  <si>
    <t xml:space="preserve">• 2025-11-17: Orders the Manhattan U.S. Attorney to investigate Epstein's ties to Trump's political opponents, despite the FBI's July 2025 'no predicate' finding.
• 2026-04-02: FIRED BY TRUMP after the House Oversight Committee subpoenaed her testimony on release management.</t>
  </si>
  <si>
    <t xml:space="preserve">The clause 'at Trump's urging' and the contrast with the FBI's 'no predicate' finding are the FBI briefing document's own characterizations. The corpus renders her only as 'AG Bondi'; the first name is the ordinary expansion of the office-holder's name.</t>
  </si>
  <si>
    <t xml:space="preserve">EFTA01655527</t>
  </si>
  <si>
    <t xml:space="preserve">https://www.britannica.com/topic/The-Epstein-Files-A-Timeline/2026-Contempt-delays-and-more-documents</t>
  </si>
  <si>
    <t xml:space="preserve">P268</t>
  </si>
  <si>
    <t xml:space="preserve">Paul G. Cassell</t>
  </si>
  <si>
    <t xml:space="preserve">Victims' counsel (University of Utah College of Law) who pursued the perjury referral against Bruce Reinhart; Tier 6 covers attorneys.</t>
  </si>
  <si>
    <t xml:space="preserve">n/a — advocate for victims.</t>
  </si>
  <si>
    <t xml:space="preserve">• [alleged] No allegation against him; he is the complainant. He requested a criminal investigation of Bruce Reinhart under 18 U.S.C. s.1621 (perjury). The request was routed to the Puerto Rico USAO and reassigned across four AUSAs, none of whom acted. His calls of Dec 28, 2015 and Jan 5, 14 and 19, 2016 'were never returned. His letter to the U.S. Attorney was not answered.'  (EFTA00209299; EFTA00068215)</t>
  </si>
  <si>
    <t xml:space="preserve">• 2015-12-28: First of four unreturned calls, running to Jan 19, 2016.
• 2016-02-17: Files a formal CVRA complaint (EFTA00068215).
• 2016: The complaint was ultimately dismissed by the Justice Department.</t>
  </si>
  <si>
    <t xml:space="preserve">No allegation against him of any kind. His CVRA work is the reason the 2007 NPA's terms entered the public record.</t>
  </si>
  <si>
    <t xml:space="preserve">EFTA00209299, EFTA00068215</t>
  </si>
  <si>
    <t xml:space="preserve">P269</t>
  </si>
  <si>
    <t xml:space="preserve">Paul Morris</t>
  </si>
  <si>
    <t xml:space="preserve">Deutsche Bank Relationship Manager / Director who recruited Epstein as a client; Tier 6 covers bank employees.</t>
  </si>
  <si>
    <t xml:space="preserve">The onboarding memo he advanced stated in terms that Epstein 'was charged with soliciting an underage prostitution in 2007', 'served 13 months out of his 18 month sentence', and was involved in 17 out-of-court civil settlements.</t>
  </si>
  <si>
    <t xml:space="preserve">never charged. No individual sanction recorded; his institution paid a $150 million NYDFS penalty on July 6, 2020.</t>
  </si>
  <si>
    <t xml:space="preserve">• [alleged] Previously worked at JP Morgan on the Epstein account team; after joining Deutsche Bank in November 2012 he proposed Epstein as a client projecting 'estimated flows of $100-300 [million] overtime (possibly more) w/ revenue of $2-4 million annually over time.'  (EFTA00151495)
• [alleged] 'Morris suggested all accounts be opened under entities affiliated with Epstein, not personal accounts' — a structure the corpus reads as designed to obscure the beneficial owner.  (EFTA00151495)
• [alleged] Visited Epstein at his New York home with 'EXECUTIVE-1' on January 22, 2015 for 'due diligence', of which no contemporaneous records exist.  (EFTA00151495)</t>
  </si>
  <si>
    <t xml:space="preserve">• 2012-11: Joins Deutsche Bank from JPMorgan.
• 2013: Proposes Epstein as a client (spring 2013).
• 2013-08-19: First Epstein accounts open at Deutsche Bank.
• 2015-01-22: Home visit with EXECUTIVE-1.
• 2018-12-21: Deutsche Bank terminates the relationship.</t>
  </si>
  <si>
    <t xml:space="preserve">Identified in the NYDFS consent order only as 'RELATIONSHIP MANAGER-1'; named in Deutsche Bank's internal documents. The corpus's redaction finding: the regulator's role-based de-identification protects mid-level employees while shielding senior decision-makers from public identification.</t>
  </si>
  <si>
    <t xml:space="preserve">EFTA00151495, EFTA01681865</t>
  </si>
  <si>
    <t xml:space="preserve">P270</t>
  </si>
  <si>
    <t xml:space="preserve">Peggy McGarvey</t>
  </si>
  <si>
    <t xml:space="preserve">• [alleged] No allegation of criminal conduct. Named contact on Deutsche Bank FinCEN Suspicious Activity Report filings. Named contact on Deutsche Bank SAR filings across the relationship period.  (EFTA01656556; EFTA01656432; EFTA01656409; EFTA01656447; EFTA01656511; EFTA01656514; EFTA01656517)</t>
  </si>
  <si>
    <t xml:space="preserve">EFTA01656556, EFTA01656432, EFTA01656409, EFTA01656447, EFTA01656511, EFTA01656514, EFTA01656517</t>
  </si>
  <si>
    <t xml:space="preserve">P271</t>
  </si>
  <si>
    <t xml:space="preserve">Peter Skinner</t>
  </si>
  <si>
    <t xml:space="preserve">Boies Schiller attorney who brought the Epstein case to SDNY in February 2016 — the origin of the SDNY investigation; Tier 6 covers attorneys.</t>
  </si>
  <si>
    <t xml:space="preserve">As to his client's account and the case he pitched to SDNY.</t>
  </si>
  <si>
    <t xml:space="preserve">• [alleged] No allegation. Brought the Epstein case to SDNY in February 2016, pitching a sex trafficking case with a victim who was 'prostituted by and for Epstein when she was 16.' Followed up with documents including the Maxwell defamation complaint, CVRA declarations and a redacted 302.  (DS9: EFTA00039799; EFTA00039802; EFTA00039809)</t>
  </si>
  <si>
    <t xml:space="preserve">• 2016-02: Brings the case to SDNY — the origin of the SDNY investigation.
• 2018-11: Investigation restarted; his original materials forwarded by AUSA Amanda Kramer.</t>
  </si>
  <si>
    <t xml:space="preserve">EFTA00039799, EFTA00039802, EFTA00039809</t>
  </si>
  <si>
    <t xml:space="preserve">P272</t>
  </si>
  <si>
    <t xml:space="preserve">Redacted A.36 beneficiary — unidentified male, $200,000 conditional on two years' continued service</t>
  </si>
  <si>
    <t xml:space="preserve">Unidentified employee carried by the corpus as a distinct entity and an open lead; Tier 6 covers staff.</t>
  </si>
  <si>
    <t xml:space="preserve">• [alleged] No allegation. 'I give to [REDACTED], if he survives me, an amount equal to Two Hundred Thousand Dollars ($200,000.00), but only if [REDACTED]... continues to provide services to an entity directly or indirectly owned by me for a period of two years following my death. Such bequest shall not be subject to Article II, Section 2.5.'  (EFTA01266427 A.36)</t>
  </si>
  <si>
    <t xml:space="preserve">• 2015-09: Provision added in the First Amendment.
• 2019-08-10: Two-year retention obligation runs to approximately August 2021.</t>
  </si>
  <si>
    <t xml:space="preserve">REDACTION CLASSIFICATION UNRESOLVED BY THE CORPUS: Category A (victim/witness protection) if the beneficiary was also a victim, or Category D (perpetrator protection) if operational staff whose identification could support charges. The corpus's assessment that these are 'likely key witnesses' is framed as likelihood, not finding. Sex is the only identifying attribute in the corpus.</t>
  </si>
  <si>
    <t xml:space="preserve">EFTA01266427</t>
  </si>
  <si>
    <t xml:space="preserve">⚠ Identity unknown; A/D redaction classification unresolved. Open question OQ-T03-03 (P2).</t>
  </si>
  <si>
    <t xml:space="preserve">P273</t>
  </si>
  <si>
    <t xml:space="preserve">Redacted A.37 beneficiary — unidentified female, $200,000 conditional on two years' continued service</t>
  </si>
  <si>
    <t xml:space="preserve">• [alleged] No allegation. The identical provision at A.37 applies to a female employee: same $200,000 amount, same two-year service condition, same explicit exemption from Section 2.5.  (EFTA01266427 A.37)</t>
  </si>
  <si>
    <t xml:space="preserve">Same unresolved A/D redaction classification as A.36. The corpus's key structural observation: these two employees had a LONGER obligation than the general one-year cliff — their bequests were structured as two-year retention contracts.</t>
  </si>
  <si>
    <t xml:space="preserve">⚠ Identity unknown; A/D redaction classification unresolved.</t>
  </si>
  <si>
    <t xml:space="preserve">P274</t>
  </si>
  <si>
    <t xml:space="preserve">Rep. Jamie Raskin</t>
  </si>
  <si>
    <t xml:space="preserve">Ranking Member, House Judiciary Committee; opened the 2026 inquiries into Maxwell's prison treatment and Epstein's possible status as an unregistered foreign agent. Tier 6 covers congressional oversight figures.</t>
  </si>
  <si>
    <t xml:space="preserve">Alive. U.S. Representative; Ranking Member, House Judiciary Committee, as of July 2026.</t>
  </si>
  <si>
    <t xml:space="preserve">• 2026: Opens a probe into whistleblower allegations of preferential treatment for Ghislaine Maxwell at FPC Bryan.
• 2026: Files a House resolution opposing any pardon or commutation for Maxwell.
• 2026-07-21: Opens an inquiry into whether Epstein acted as an unregistered foreign agent, with an August 3, 2026 records deadline covering 19 countries.</t>
  </si>
  <si>
    <t xml:space="preserve">https://democrats-judiciary.house.gov/media-center/press-releases/ranking-member-raskin-files-resolution-opposing-pardon-or-commutation-for-epstein-accomplice-and-convicted-child-sex-trafficker-ghislaine-maxwell
https://thehill.com/homenews/5597856-maxwell-prison-perks-whistleblower/</t>
  </si>
  <si>
    <t xml:space="preserve">P275</t>
  </si>
  <si>
    <t xml:space="preserve">Rep. Ro Khanna</t>
  </si>
  <si>
    <t xml:space="preserve">Co-author of the Epstein Files Transparency Act and lead congressional investigator; Tier 6 covers congressional oversight figures.</t>
  </si>
  <si>
    <t xml:space="preserve">never charged. NOT IMPLICATED IN ANY WRONGDOING — he is an investigator, not a subject.</t>
  </si>
  <si>
    <t xml:space="preserve">Alive. U.S. Representative (D-CA-17) as of July 2026.</t>
  </si>
  <si>
    <t xml:space="preserve">• 2025: Co-authors the Epstein Files Transparency Act with Rep. Thomas Massie.
• 2026-01: Identifies withheld categories after the Jan 30 release: FBI 302 victim interview statements and hundreds of thousands of Epstein computer emails. Co-authors a letter with Massie to DAG Blanche requesting the unredacted prosecution memo and draft indictment.
• 2026-03: Hosts survivor Haley Robson as his State of the Union guest and amplifies her letter to Congress.
• 2026-07-16: Co-introduces the Epstein Files Transparency Act II with Massie, Leger Fernandez, Merkley and Lujan.
• 2026-07: With Massie, calls for appointment of a special master to compel DOJ production.</t>
  </si>
  <si>
    <t xml:space="preserve">https://massie.house.gov/news/documentsingle.aspx?DocumentID=395849
https://www.merkley.senate.gov/massie-khanna-leger-fernandez-merkley-lujan-introduce-the-epstein-files-transparency-act-ii/
https://khanna.house.gov/media/press-releases/reps-khanna-and-massie-call-appointment-special-master-compel-department
https://khanna.house.gov/media/press-releases/release-rep-ro-khanna-slams-doj-stonewalling-calls-full-release-epstein-files</t>
  </si>
  <si>
    <t xml:space="preserve">P276</t>
  </si>
  <si>
    <t xml:space="preserve">Rep. Robert Garcia</t>
  </si>
  <si>
    <t xml:space="preserve">Ranking Member of the House Oversight Committee who forced the subpoenas of Wexner, Indyke and Kahn; Tier 6 covers congressional oversight figures.</t>
  </si>
  <si>
    <t xml:space="preserve">Alive. U.S. Representative; Ranking Member, House Oversight Committee, as of July 2026.</t>
  </si>
  <si>
    <t xml:space="preserve">• 2026-01-07: Forces a vote to subpoena Les Wexner and Epstein estate executors Darren Indyke and Richard Kahn.
• 2026-03-19: Issues a statement on the deposition of Darren Indyke.</t>
  </si>
  <si>
    <t xml:space="preserve">https://oversightdemocrats.house.gov/news/press-releases/ranking-member-robert-garcia-statement-on-forcing-subpoenas-of-epstein-co-conspirator-les-wexner-and-epstein-estate-executors-darren-indyke-and-richard-kahn
https://oversightdemocrats.house.gov/news/press-releases/ranking-member-robert-garcia-statement-on-deposition-of-epstein-lawyer-darren-indyke</t>
  </si>
  <si>
    <t xml:space="preserve">P277</t>
  </si>
  <si>
    <t xml:space="preserve">Rep. Thomas Massie</t>
  </si>
  <si>
    <t xml:space="preserve">Co-author of the Epstein Files Transparency Act; led the discharge petition that forced the 2025 House vote. Tier 6 covers congressional oversight figures.</t>
  </si>
  <si>
    <t xml:space="preserve">Alive. U.S. Representative (R-KY-04) as of July 2026.</t>
  </si>
  <si>
    <t xml:space="preserve">• 2025: Leads the discharge petition that forced the House vote on EFTA.
• 2026-02: Joins the push for full DOJ compliance.
• 2026-07-16: Introduces the Epstein Files Transparency Act II, framed as a response to Trump DOJ violations of the original act.
• 2026-07: Joins Khanna's special-master demand.</t>
  </si>
  <si>
    <t xml:space="preserve">https://massie.house.gov/news/documentsingle.aspx?DocumentID=395849
https://spectrumnews1.com/ky/louisville/news/2026/07/16/massie-epstein-files-bill
https://rollcall.com/2026/02/02/lawmakers-pursue-full-compliance-with-epstein-transparency-law/</t>
  </si>
  <si>
    <t xml:space="preserve">P278</t>
  </si>
  <si>
    <t xml:space="preserve">Richard D. Kahn</t>
  </si>
  <si>
    <t xml:space="preserve">Accountant, co-executor of the Epstein estate and co-trustee; Tier 6 expressly covers estate executors.</t>
  </si>
  <si>
    <t xml:space="preserve">executor, trustee, admin, operations, banker</t>
  </si>
  <si>
    <t xml:space="preserve">Knew everything about the estate's finances — he ran HBRK Associates, through which all Epstein entities were administered, and executed the payments the prosecution memo examined. The corpus makes no finding on his knowledge of the criminal sexual conduct.</t>
  </si>
  <si>
    <t xml:space="preserve">Same estate settlement as Indyke — the estate settled claims that its advisers aided sex trafficking. No personal finding of liability.</t>
  </si>
  <si>
    <t xml:space="preserve">None verified.</t>
  </si>
  <si>
    <t xml:space="preserve">Alive. Accountant; still co-executor of the Epstein estate as of July 2026.</t>
  </si>
  <si>
    <t xml:space="preserve">Unverified — no direct quote located; his House Oversight deposition video was released.</t>
  </si>
  <si>
    <t xml:space="preserve">• [alleged] Executed the $250,000 wire to an Epstein assistant in December 2018, days after the Miami Herald 'Perversion of Justice' series, at Epstein's direction. Epstein 'instructed recipients not to tell anyone about the payments.' SDNY probed the payment; its assessment is in the redacted portion of the memo and no charge followed.  (EFTA02731082 pp.51-52)
• [alleged] Ran HBRK Associates Inc (575 Lexington Ave, NYC), the management company through which all Epstein entities were administered, and 'regularly corresponded with Jeff Fuller at MC2 about financial reporting, credit lines, and wire transfers' — i.e. managed the finances of the documented trafficking front.  (EFTA01424842; EFTA01870235; EFTA01809528; EFTA01938180)
• [alleged] Second-largest named beneficiary of The 1953 Trust ($25,000,000 plus debt forgiveness) while serving as co-executor and co-trustee; named with Indyke as sole judge of 'disloyalty' under s.2.5(B).  (EFTA01266204; EFTA00027979)
• [alleged] When Deutsche Bank compliance asked in 2016 what the Butterfly Trust was for, he told them to speak with Stewart Oldfield; the purpose was never documented in the compliance file. A separate RDC compliance alert concerning a Richard Kahn banned from NYSE Arca was cleared as a 'false positive' on the basis of Kahn's own email attesting he was not the same individual.  (EFTA01421789)</t>
  </si>
  <si>
    <t xml:space="preserve">• 2006-12-27: Named trustee of the Butterfly Trust with Indyke.
• 2013-11: AML Compliance clears the RDC alert on him as a false positive (EFTA01421789).
• 2014-11-18: $2M bequest in the original 2014 Trust.
• 2015-05-01: Bequest raised to $5M; blanket debt cancellation added for himself, Lisa Kahn and Coatue Enterprises LLC.
• 2018-12: Wires $250,000 to an Epstein assistant at Epstein's direction, days after the Miami Herald series.
• 2019-01-18: Named trustee of the 2019 Trust.
• 2019-09-06: Authorized as co-executor at probate.
• 2026-01-07: House Oversight Democrats force a vote to subpoena Indyke and Kahn.
• 2026-03: Deposed; deposition video publicly released.</t>
  </si>
  <si>
    <t xml:space="preserve">Operator of the financial infrastructure; not alleged to be an abuser. Indyke and Kahn were the only two individuals who received the complete package — cash bequest, loan forgiveness and blanket debt cancellation extending to spouses and entities.</t>
  </si>
  <si>
    <t xml:space="preserve">EFTA02731082, EFTA01266380, EFTA01266403, EFTA01266204, EFTA00027979, EFTA01424842, EFTA01421789, EFTA01681865</t>
  </si>
  <si>
    <t xml:space="preserve">https://www.newsnationnow.com/politics/video-jeffrey-epstein-executors-indyke-kahn/
https://news.bloomberglaw.com/in-house-counsel/epsteins-personal-lawyer-indyke-to-testify-before-house-panel
https://www.aol.com/articles/epstein-estate-settles-lawsuit-accusing-154030490.html</t>
  </si>
  <si>
    <t xml:space="preserve">P279</t>
  </si>
  <si>
    <t xml:space="preserve">Richard Iarossi</t>
  </si>
  <si>
    <t xml:space="preserve">• [alleged] No allegation of criminal conduct. AVP, Wealth Management, Deutsche Bank. Forwarded compliance requests, asked for approval to continue the KYC process, and forwarded a dismissal notice in the October 2018 negative-media chain.  (EFTA01422803)</t>
  </si>
  <si>
    <t xml:space="preserve">P280</t>
  </si>
  <si>
    <t xml:space="preserve">Robert Roxburgh</t>
  </si>
  <si>
    <t xml:space="preserve">Epstein pilot; Tier 6 covers pilots.</t>
  </si>
  <si>
    <t xml:space="preserve">pilot, employee</t>
  </si>
  <si>
    <t xml:space="preserve">• [alleged] No allegation. Epstein pilot represented in civil suits by Bruce Reinhart, paid 'directly or indirectly, by Epstein.'  (EFTA00235751 p.21)</t>
  </si>
  <si>
    <t xml:space="preserve">• 2008-01-02: Represented by Reinhart.</t>
  </si>
  <si>
    <t xml:space="preserve">P281</t>
  </si>
  <si>
    <t xml:space="preserve">Rodriguez (surname only, Epstein 2014 Trust $500,000-$1,000,000 bracket)</t>
  </si>
  <si>
    <t xml:space="preserve">P282</t>
  </si>
  <si>
    <t xml:space="preserve">Roy Black</t>
  </si>
  <si>
    <t xml:space="preserve">P283</t>
  </si>
  <si>
    <t xml:space="preserve">Ruan (surname only in the corpus)</t>
  </si>
  <si>
    <t xml:space="preserve">P284</t>
  </si>
  <si>
    <t xml:space="preserve">Scott J. Link</t>
  </si>
  <si>
    <t xml:space="preserve">Attorney whose firm received the largest single Epstein-funded co-conspirator legal defence payment stream; Tier 6 covers attorneys.</t>
  </si>
  <si>
    <t xml:space="preserve">• [alleged] No allegation of misconduct. Received $100,000 individually from Epstein accounts for the representation of Lesley Groff, in addition to $5,509,464 paid to his firm Link &amp; Rockenbach — the largest single recipient of Epstein-funded legal defence in the Deutsche Bank exhibits.  (EFTA01681865 Exhibit M)</t>
  </si>
  <si>
    <t xml:space="preserve">The corpus's structural point is about the funding, not the lawyer: 'The legal defense infrastructure ensured co-conspirators had no incentive to cooperate.'</t>
  </si>
  <si>
    <t xml:space="preserve">P285</t>
  </si>
  <si>
    <t xml:space="preserve">Sen. Ron Wyden</t>
  </si>
  <si>
    <t xml:space="preserve">Senate Finance Committee chairman/ranking member whose July 2023 letter is the source of the corpus's financial-architecture findings on Leon Black; also the source of the March 2026 DEA disclosure dispute. Tier 6 covers congressional oversight figures.</t>
  </si>
  <si>
    <t xml:space="preserve">Alive. U.S. Senator as of July 2026. The status of the Senate Finance Committee investigation is unknown; the corpus records that the IRS has never audited the 2006 GRATs, the remainder trust or the mutual-release scheme — potential liability exceeding $1 billion.</t>
  </si>
  <si>
    <t xml:space="preserve">• 2023-07-24: Senate Finance Committee 13-page letter demanding answers on Leon Black's $158M payments to Epstein and the estate-tax scheme; the committee found 'potential violations of gift and estate tax laws'. Black refused to cooperate and refused to answer questions about how the payments were calculated (EFTA02731023).
• 2026-03-18: Accuses DAG Todd Blanche of blocking the DEA from releasing the unredacted Operation Chain Reaction target profile, which would reveal the names of 12 co-targets and 2 businesses. Blanche calls the allegation 'a completely fabricated story'.</t>
  </si>
  <si>
    <t xml:space="preserve">EFTA02731023, EFTA00173953</t>
  </si>
  <si>
    <t xml:space="preserve">P286</t>
  </si>
  <si>
    <t xml:space="preserve">Sen. Sheldon Whitehouse</t>
  </si>
  <si>
    <t xml:space="preserve">Senator pressing DOJ for documents on Ghislaine Maxwell's unexplained prison transfer; Tier 6 covers congressional oversight figures.</t>
  </si>
  <si>
    <t xml:space="preserve">Alive. U.S. Senator as of July 2026.</t>
  </si>
  <si>
    <t xml:space="preserve">• 2026: Renews demands for DOJ documents related to the unexplained transfer of Ghislaine Maxwell to FPC Bryan, a minimum-security federal prison camp.</t>
  </si>
  <si>
    <t xml:space="preserve">https://www.whitehouse.senate.gov/news/release/whitehouse-renews-demand-for-doj-documents-related-to-unexplained-transfer-of-ghislaine-maxwell-to-cushier-prison/</t>
  </si>
  <si>
    <t xml:space="preserve">P287</t>
  </si>
  <si>
    <t xml:space="preserve">Sharon Churcher</t>
  </si>
  <si>
    <t xml:space="preserve">Mail on Sunday reporter whose conduct is recorded inside the SDNY prosecution memo's credibility assessment of a victim; Tier 6 (broader ecosystem).</t>
  </si>
  <si>
    <t xml:space="preserve">never charged (corpus: no allegation of criminal conduct)</t>
  </si>
  <si>
    <t xml:space="preserve">• [alleged] The prosecution memo records that she 'coached victim on memoir' and suggested including Alan Dershowitz in the victim's account: 'We all suspect Alan is a pedo.'  (EFTA02731082 p.59)</t>
  </si>
  <si>
    <t xml:space="preserve">• 2011: Her correspondence is referenced in the memo's credibility assessment of the 'lent out' victim, section II.E, pp.54-60.</t>
  </si>
  <si>
    <t xml:space="preserve">MATERIALLY RELEVANT TO HOW THE DERSHOWITZ ALLEGATION SHOULD BE READ. The corpus's word is 'coached', and her quoted suggestion is used by SDNY as part of a credibility assessment weighing against a victim's allegation. A Tier 3 argument could be made ('communications suggesting influence over testimony'), but the corpus makes no such finding and no allegation of criminal conduct against her.</t>
  </si>
  <si>
    <t xml:space="preserve">P288</t>
  </si>
  <si>
    <t xml:space="preserve">Sigrid McCawley</t>
  </si>
  <si>
    <t xml:space="preserve">Boies Schiller lead attorney on Epstein victim cases; Tier 6 covers attorneys.</t>
  </si>
  <si>
    <t xml:space="preserve">• [alleged] No allegation. Lead attorney on Epstein victim cases; added to the SDNY email chain by Peter Skinner as someone who 'knows both [the victim] and the facts very well.'  (DS9: EFTA00039802; EFTA00039809)</t>
  </si>
  <si>
    <t xml:space="preserve">EFTA00039802, EFTA00039809</t>
  </si>
  <si>
    <t xml:space="preserve">P289</t>
  </si>
  <si>
    <t xml:space="preserve">Simona Petreike</t>
  </si>
  <si>
    <t xml:space="preserve">• [alleged] No allegation. Beneficiary of The 1953 Trust — $3,000,000, item 18.  (EFTA01266204)</t>
  </si>
  <si>
    <t xml:space="preserve">P290</t>
  </si>
  <si>
    <t xml:space="preserve">St. Omer (surname only in the corpus)</t>
  </si>
  <si>
    <t xml:space="preserve">P291</t>
  </si>
  <si>
    <t xml:space="preserve">Stacey Richman</t>
  </si>
  <si>
    <t xml:space="preserve">Attorney for Mark Epstein; Tier 6 covers attorneys.</t>
  </si>
  <si>
    <t xml:space="preserve">• [alleged] No allegation. Coordinated a meeting between Mark Epstein and SDNY in October 2019.  (DS9: EFTA00039662)</t>
  </si>
  <si>
    <t xml:space="preserve">• 2019-10: Coordinates the SDNY meeting.</t>
  </si>
  <si>
    <t xml:space="preserve">EFTA00039662</t>
  </si>
  <si>
    <t xml:space="preserve">P292</t>
  </si>
  <si>
    <t xml:space="preserve">Stacie B. Harris</t>
  </si>
  <si>
    <t xml:space="preserve">Office of the Deputy Attorney General official who contacted an SDNY line AUSA directly about the Epstein investigation; Tier 6 covers DOJ officials.</t>
  </si>
  <si>
    <t xml:space="preserve">ODAG was monitoring the SDNY Epstein investigation directly as of March 2019, four months before Epstein's arrest.</t>
  </si>
  <si>
    <t xml:space="preserve">never charged. The corpus records a structural anomaly in the communication route, not misconduct.</t>
  </si>
  <si>
    <t xml:space="preserve">• [alleged] Contacted an SDNY line AUSA directly regarding the Epstein investigation, bypassing Public Corruption Unit supervisors, who then had to reassert control. March 2019, four months before the arrest.  (DS9: EFTA00039798)</t>
  </si>
  <si>
    <t xml:space="preserve">• 2019-03: ODAG-SDNY communication bypassing the supervisory chain.</t>
  </si>
  <si>
    <t xml:space="preserve">Recorded because the routing is a structural finding — ODAG monitoring a line prosecutor directly, and the SDNY Epstein investigation being housed in the Public Corruption Unit rather than a sex crimes unit. No allegation of wrongdoing is made against her.</t>
  </si>
  <si>
    <t xml:space="preserve">EFTA00039798</t>
  </si>
  <si>
    <t xml:space="preserve">P293</t>
  </si>
  <si>
    <t xml:space="preserve">Stan Pottinger</t>
  </si>
  <si>
    <t xml:space="preserve">Victims' attorney CC'd on materials sent to SDNY; Tier 6 covers attorneys.</t>
  </si>
  <si>
    <t xml:space="preserve">• [alleged] No allegation. CC'd by Peter Skinner on materials sent to SDNY following the February 2016 meeting.  (DS9: EFTA00039809)</t>
  </si>
  <si>
    <t xml:space="preserve">P294</t>
  </si>
  <si>
    <t xml:space="preserve">Steven Cutler</t>
  </si>
  <si>
    <t xml:space="preserve">JPMorgan General Counsel who conferred on the decision to retain Epstein as a private bank client after his 2008 felony conviction; Tier 6 covers institutional officers.</t>
  </si>
  <si>
    <t xml:space="preserve">attorney, banker</t>
  </si>
  <si>
    <t xml:space="preserve">The compliance record states the decision was made in the knowledge that 'Mr. Epstein was convicted of a felony and is currently serving a Jail term.'</t>
  </si>
  <si>
    <t xml:space="preserve">• [alleged] No allegation of criminal conduct. 'Mr. Epstein was convicted of a felony and is currently serving a Jail term. [J]es Staley conferred with Steven Cutler and the decision was made to keep him as a PB client but only for banking and custody.'  (EFTA01582849)
• [alleged] Possibly the subject of Epstein's one-word email to Staley, 'cultler?' — the corpus calls this 'likely referring to JPM General Counsel Steven Cutler', which is an inference, not a finding.  (EFTA00923563)</t>
  </si>
  <si>
    <t xml:space="preserve">• 2009-02: Confers with Staley; decision made to keep Epstein as a client after the felony conviction.
• 2011-10-31: Epstein emails Staley 'cultler?' — open question, unresolved.</t>
  </si>
  <si>
    <t xml:space="preserve">INSTITUTION OFFICER, NOT AN OPERATOR of the Epstein enterprise. The 'cultler?' identification is the corpus's inference and is expressly flagged as an open question.</t>
  </si>
  <si>
    <t xml:space="preserve">EFTA01582849, EFTA00923563, EFTA01582957</t>
  </si>
  <si>
    <t xml:space="preserve">P295</t>
  </si>
  <si>
    <t xml:space="preserve">Steven Hanson</t>
  </si>
  <si>
    <t xml:space="preserve">Unknown. No indication any succession was triggered.</t>
  </si>
  <si>
    <t xml:space="preserve">• [alleged] No allegation. Named as one of three successor trustees in all versions of the trust, alongside Eva Andersson-Dubin and Joseph Pagano.  (EFTA01266380; EFTA01266403; EFTA01266427)</t>
  </si>
  <si>
    <t xml:space="preserve">• 2014-11-18: Named successor trustee across all three trust versions through September 2015.</t>
  </si>
  <si>
    <t xml:space="preserve">Single mention in the corpus. The corpus uses the successor-trustee list to argue the trust anticipated departures — yet no Staley departure document has ever been found.</t>
  </si>
  <si>
    <t xml:space="preserve">P296</t>
  </si>
  <si>
    <t xml:space="preserve">Stewart Oldfield</t>
  </si>
  <si>
    <t xml:space="preserve">Deutsche Bank Director / Relationship Manager-2 on the Epstein relationship; Tier 6 covers bank employees.</t>
  </si>
  <si>
    <t xml:space="preserve">He surfaced negative media about Epstein in KYC reviews and continued the relationship, and after the bank decided to offboard he wrote reference letters to two other institutions stating he was 'unaware of any problems'.</t>
  </si>
  <si>
    <t xml:space="preserve">never charged. No individual sanction recorded.</t>
  </si>
  <si>
    <t xml:space="preserve">• [alleged] Surfaced negative media about Epstein in KYC reviews and then continued the relationship.  (EFTA01422803)
• [alleged] 'Despite the Bank's decision to offboard all Epstein accounts due to reputational risks, RELATIONSHIP MANAGER-2 drafted reference letters to two other financial institutions, on Deutsche Bank letterhead, indicating in one such letter that he was unaware of any problems relating to the operation or use of [the] accounts.'  (EFTA00151495 (NYDFS consent order))
• [alleged] Explained a wire to a Russian model as routine: 'generally, Jeffrey has separate accounts to manage each of his properties... when making one-off transfers to people, he and his finance staff have the flexibility to use any account they like that is funded.'  (EFTA01422803)
• [alleged] Coordinated the closing checks for the winding down of the Caterpillar Trust in April 2019, three months before Epstein's arrest.  (EFTA01423947)</t>
  </si>
  <si>
    <t xml:space="preserve">• 2018-10: Surfaces negative media in a KYC review: 'I'm talking to his CFO tmw for more details'.
• 2018-12: Drafts the 'unaware of any problems' reference letters during offboarding.
• 2019-04: Coordinates Caterpillar Trust closing checks.</t>
  </si>
  <si>
    <t xml:space="preserve">Corpus open question: his letters to other banks could constitute aiding offboarding to institutions with even less scrutiny — 'Did Deutsche Bank facilitate Epstein's continued banking access after terminating its own relationship?' Unresolved.</t>
  </si>
  <si>
    <t xml:space="preserve">EFTA00151495, EFTA01422803, EFTA01423947</t>
  </si>
  <si>
    <t xml:space="preserve">P297</t>
  </si>
  <si>
    <t xml:space="preserve">Susan Estrich</t>
  </si>
  <si>
    <t xml:space="preserve">Leon Black's defence attorney in the JPMC victim-claim proceedings; Tier 6 covers defence attorneys.</t>
  </si>
  <si>
    <t xml:space="preserve">None known relating to Epstein.</t>
  </si>
  <si>
    <t xml:space="preserve">Alive. Robert Kingsley Professor of Law and Political Science, USC Gould School of Law; active California bar licensee; commentator.</t>
  </si>
  <si>
    <t xml:space="preserve">Unverified — no 2026 statement located.</t>
  </si>
  <si>
    <t xml:space="preserve">• [alleged] No allegation of criminal conduct. Black's attorney; objected to a JPMC victim claim in February 2024. One victim dropped a civil claim after her challenges.  (DS12: EFTA02731724)</t>
  </si>
  <si>
    <t xml:space="preserve">• 2024-02: Objects to a JPMC victim claim on Black's behalf.</t>
  </si>
  <si>
    <t xml:space="preserve">status_verification.md found NO verified 2026 reporting connecting Estrich to the EFTA releases, House Oversight or any Epstein investigation. Her documented Epstein nexus is historical — she was part of Epstein's legal defence orbit and Black's counsel in the JPMC proceedings. Requires primary-document verification if the investigation intends to assert a wider role.</t>
  </si>
  <si>
    <t xml:space="preserve">EFTA02731724</t>
  </si>
  <si>
    <t xml:space="preserve">https://www.gould.usc.edu/portal/directory/photos/Estrich_Susan_CV.pdf
https://apps.calbar.ca.gov/attorney/Licensee/Detail/124009</t>
  </si>
  <si>
    <t xml:space="preserve">⚠ No verified 2026 Epstein-related development located for Estrich.</t>
  </si>
  <si>
    <t xml:space="preserve">P298</t>
  </si>
  <si>
    <t xml:space="preserve">Tazia Smith</t>
  </si>
  <si>
    <t xml:space="preserve">• [alleged] No allegation of criminal conduct. Deutsche Bank Director, Key Client Partners. Direct email contact with Epstein on trades (Mexico FX, AAPL, Japanese equities, BRL notes); copied on account number discussions.  (EFTA01681865)</t>
  </si>
  <si>
    <t xml:space="preserve">P299</t>
  </si>
  <si>
    <t xml:space="preserve">The Fontanilla family (treated as a family unit by the corpus; individuals not named)</t>
  </si>
  <si>
    <t xml:space="preserve">Long-serving household staff recorded collectively by the corpus as joint bequest recipients.</t>
  </si>
  <si>
    <t xml:space="preserve">• [alleged] No allegation. Trust beneficiaries in the $1,000,000-$2,000,000 bracket: 'Long-serving household staff. Joint bequest creates family-level dependency.' Also recipients of Lyn &amp; Jojo, LLC, a New York LLC Epstein held 'through Darren K. Indyke, as my nominee.'  (EFTA01266380; EFTA01266427 s.2.3.A.12)</t>
  </si>
  <si>
    <t xml:space="preserve">• 2014-11-18: Named beneficiaries in the original trust.
• 2015-09: First Amendment directs Lyn &amp; Jojo LLC to them.
• 2019-08-10: Subject to the one-year employment cliff.</t>
  </si>
  <si>
    <t xml:space="preserve">The corpus records this as a joint family bequest and notes the structure 'creates family-level dependency' — the witness-control mechanism applied to a household as a unit rather than to individuals. Kept separate from the Luciano Fontanilla Jr record, which the corpus lists individually.</t>
  </si>
  <si>
    <t xml:space="preserve">P300</t>
  </si>
  <si>
    <t xml:space="preserve">The fifth member of the shell-entity signer pool ('one other', unidentified)</t>
  </si>
  <si>
    <t xml:space="preserve">Unidentified operational signer carried by the corpus as a distinct position; Tier 6 covers operations.</t>
  </si>
  <si>
    <t xml:space="preserve">• [alleged] Member of the five-person signer pool — 'Indyke, Kahn, Groff, Kellerhals, and one other' — with signer authority over the entities through which trust assets flowed. 'All corporate amendments, bank account changes, and financial transfers required at least one of these five individuals.'  (corpus: THREAD_03/THREAD_04, sourced to the shell-company investigation; UNSOURCED IN CORPUS as to EFTA number)</t>
  </si>
  <si>
    <t xml:space="preserve">A named-but-unnamed position in the estate's operational core. The corpus carries no EFTA number for this finding, which is cross-referenced to a thread not present in the extraction set.</t>
  </si>
  <si>
    <t xml:space="preserve">⚠ No EFTA citation in the corpus for the signer-pool finding; sourced to a cross-referenced thread not in the extraction set.</t>
  </si>
  <si>
    <t xml:space="preserve">P301</t>
  </si>
  <si>
    <t xml:space="preserve">Thomas R. Kane</t>
  </si>
  <si>
    <t xml:space="preserve">Acting Bureau of Prisons Director. Signed P5270.11 (Special Housing Unit policy, 2016) and P5270.09 (Inmate Discipline, 2011) — the policy signatory for SHU operations.</t>
  </si>
  <si>
    <t xml:space="preserve">EFTA00039190, EFTA00039227</t>
  </si>
  <si>
    <t xml:space="preserve">P302</t>
  </si>
  <si>
    <t xml:space="preserve">Todd Blanche</t>
  </si>
  <si>
    <t xml:space="preserve">Deputy Attorney General overseeing DOJ's EFTA compliance; Tier 6 covers DOJ officials. He is at the centre of the 2026 accountability fight.</t>
  </si>
  <si>
    <t xml:space="preserve">As the DOJ official overseeing the EFTA production and the DOJ interviews of Ghislaine Maxwell.</t>
  </si>
  <si>
    <t xml:space="preserve">None to date — but his career is actively at risk. His Attorney General nomination stalled in the Senate Judiciary Committee on July 29-30, 2026.</t>
  </si>
  <si>
    <t xml:space="preserve">Alive. Deputy Attorney General as of July 2026; nominated to be Attorney General after Pam Bondi's April 2, 2026 firing; NOMINATION STALLED, NOT CONFIRMED as of July 31, 2026.</t>
  </si>
  <si>
    <t xml:space="preserve">Has defended DOJ's EFTA compliance, maintaining the department has satisfied its obligations; defended Maxwell's prison transfer; defended the redaction posture in his confirmation hearing (~July 15, 2026). Called Wyden's DEA allegation 'a completely fabricated story'.</t>
  </si>
  <si>
    <t xml:space="preserve">• [alleged] Announced the January 30, 2026 release as the final major one; survivors and Reps. Khanna and Massie accuse DOJ of stonewalling.  (DOJ press releases; congressional statements)
• [alleged] Conducted the secretive DOJ interviews of Ghislaine Maxwell; the transcripts were released with redactions that placed him directly in the accountability dispute.  (DOJ; reporting)
• [denied] Sen. Ron Wyden accused him on March 18, 2026 of blocking the DEA from releasing the unredacted Operation Chain Reaction target profile, which would reveal the names of 12 co-targets and 2 businesses. Blanche called Wyden's allegation a 'completely fabricated story' and claimed the document is available unredacted in a congressional reading room.  (EFTA00173953; reporting Mar 18, 2026)
• [alleged] Named respondent in Judge Emmet Sullivan's unredaction order (June 26 / July 2 / July 30, 2026 deadlines).  (D.D.C. order)</t>
  </si>
  <si>
    <t xml:space="preserve">• 2026-01-30: Announces the ~3.5 million page release as the final major one.
• 2026-02-02: States no additional prosecutions are expected from the EFTA materials.
• 2026-03-18: Wyden accuses him of blocking the DEA unredacted release; he denies it.
• 2026-04-02: AG Pam Bondi fired by Trump; Blanche is subsequently nominated as Attorney General.
• 2026-06-26: Named respondent in Judge Sullivan's unredaction order.
• 2026-07-15: Confirmation hearing; defends the redaction posture.
• 2026-07-17: Meets Epstein survivors at Sen. Tillis's insistence. The meeting goes badly: Annie Farmer calls him 'abrasive, condescending, and intentionally noncommittal'; survivors then urge senators to vote no, accusing him of 'gaslighting'.
• 2026-07-29: Senate Judiciary postpones its vote on his nomination (July 29-30), with Sens. Cornyn and Tillis withholding support. NOT CONFIRMED as of July 31, 2026.</t>
  </si>
  <si>
    <t xml:space="preserve">He is at the centre of the accountability fight, not adjacent to it. The allegations recorded here are about the conduct of the disclosure process, not about the underlying trafficking; no allegation of participation in any Epstein-related offence is made against him anywhere in the record.</t>
  </si>
  <si>
    <t xml:space="preserve">EFTA00173953</t>
  </si>
  <si>
    <t xml:space="preserve">https://www.cnbc.com/2026/07/17/epstein-victims-todd-blanche-doj-trump-tillis.html
https://www.newsnationnow.com/politics/epstein-survivors-todd-blanche-gaslighting/
https://www.npr.org/2026/07/30/g-s1-136265/senate-blanche-nomination
https://www.pbs.org/newshour/politics/what-blanche-said-about-trump-epstein-files-during-confirmation-hearing
https://www.citizen.org/article/todd-blanche-the-epstein-files-a-timeline/</t>
  </si>
  <si>
    <t xml:space="preserve">P303</t>
  </si>
  <si>
    <t xml:space="preserve">Tova Noel</t>
  </si>
  <si>
    <t xml:space="preserve">unknown as to any wider scheme; she admitted not completing the required rounds.</t>
  </si>
  <si>
    <t xml:space="preserve">charges dropped: charged Nov 2019 (SDNY) with falsifying records and conspiracy; deferred prosecution agreement approved May 2021; charges formally dismissed January 2022. NO CONVICTION. Not incarcerated. (status_verification.md, July 2026)</t>
  </si>
  <si>
    <t xml:space="preserve">Alive. Private citizen as of July 2026. Has testified in the ongoing Epstein investigation.</t>
  </si>
  <si>
    <t xml:space="preserve">Admitted falsifying records as part of the deferred prosecution agreement; has said she did not sleep through required rounds as part of any conspiracy to harm Epstein.</t>
  </si>
  <si>
    <t xml:space="preserve">• [alleged] Charged November 2019 (SDNY) with falsifying records and conspiracy relating to the night of Epstein's death at MCC.  (SDNY 19 Cr. 830)
• [admitted] Admitted to a lieutenant that she and Michael Thomas 'did not complete the 3am and 5am rounds'; refused to write a memo, cited trauma and demanded union review. Formal allegations: endangering safety, inattention, failure to follow policy.  (DS9: EFTA00039357)
• [admitted] Co-signed falsified 4 PM and 10 PM count slips on August 9, 2019 with two other officers who were never charged.  (EFTA02731790)
• [admitted] Told the first supervisor to arrive after the 6:33 AM alarm 'Epstein hung himself' before he could see inside the cell, then 'We did not complete the 3am nor 5am rounds.'  (EFTA02731790)</t>
  </si>
  <si>
    <t xml:space="preserve">• 2019-08-09: Signs false 4 PM and 10 PM count slips with Officer-1 and Officer-2.
• 2019-08-10: Epstein found dead; rounds not completed.
• 2019-11: Charged in SDNY with falsifying records and conspiracy.
• 2021-05-25: Deferred prosecution agreement approved by the court: community service, cooperation, no admission of guilt as to the criminal charges.
• 2022-01: Charges formally dismissed upon completion of the DPA.
• 2026-03-26: CNN reporting based on the released files sheds new light on what prison officials were doing the night Epstein died. She has testified in the ongoing Epstein investigation.</t>
  </si>
  <si>
    <t xml:space="preserve">The corpus records that the June 2021 dismissal eliminated any opportunity for the guards to testify under oath about what they observed or were told to do that night — withholding by non-creation of a record rather than by redaction. Two other officers co-signed falsified count slips and were never charged; the ~4 AM supervisor who entered the SHU and left without checking any logs was never identified or charged.</t>
  </si>
  <si>
    <t xml:space="preserve">https://www.cnbc.com/2021/05/25/judge-approves-deferred-prosecution-deal-for-epstein-jail-guards.html
https://abcnews.com/US/prosecutors-drop-charges-correctional-officers-connection-jeffrey-epstein/story?id=82018907
https://www.pbs.org/newshour/politics/who-is-tova-noel-a-former-prison-guard-testifying-in-the-epstein-investigation
https://www.cnn.com/2026/03/26/politics/epstein-files-prison-officials-night-he-died</t>
  </si>
  <si>
    <t xml:space="preserve">P304</t>
  </si>
  <si>
    <t xml:space="preserve">Una Pascal</t>
  </si>
  <si>
    <t xml:space="preserve">• [alleged] No allegation. Beneficiary of The 1953 Trust — $1,000,000, item 38.  (EFTA01266204)</t>
  </si>
  <si>
    <t xml:space="preserve">P305</t>
  </si>
  <si>
    <t xml:space="preserve">Valdson Viera Contrin</t>
  </si>
  <si>
    <t xml:space="preserve">• [alleged] No allegation. Beneficiary of The 1953 Trust — $5,000,000, item 15.  (EFTA01266204)</t>
  </si>
  <si>
    <t xml:space="preserve">P306</t>
  </si>
  <si>
    <t xml:space="preserve">Vanessa Puzio</t>
  </si>
  <si>
    <t xml:space="preserve">Identified in the corpus as a DANY Assistant District Attorney CC'd on the Black investigation correspondence; Tier 6 covers prosecutors.</t>
  </si>
  <si>
    <t xml:space="preserve">never charged. NO ALLEGATIONS ARE MADE AGAINST HER; she is recorded as an investigating prosecutor.</t>
  </si>
  <si>
    <t xml:space="preserve">• 2021-10-29: DANY (Wimmer/Puzio) contacts SDNY about the Black investigation.</t>
  </si>
  <si>
    <t xml:space="preserve">Her name is recorded in the corpus as having been revealed through a redaction failure in EFTA02731623 while redacted in all other documents. That is a disclosure-inconsistency finding, not an adverse fact about her.</t>
  </si>
  <si>
    <t xml:space="preserve">⚠ Name known to the corpus only through a redaction failure; verify against the primary document before publication.</t>
  </si>
  <si>
    <t xml:space="preserve">P307</t>
  </si>
  <si>
    <t xml:space="preserve">Vijay Sawant</t>
  </si>
  <si>
    <t xml:space="preserve">The corpus describes the Mumbai team as 'doing routine KYC checks on entities whose beneficial owner was a convicted sex offender' — routine processing without visibility.</t>
  </si>
  <si>
    <t xml:space="preserve">• [alleged] No allegation of criminal conduct. KYC case representative, Deutsche Bank Mumbai. KYC case representative on the Epstein entity reviews conducted from Mumbai.  (EFTA01422395; EFTA01421286)</t>
  </si>
  <si>
    <t xml:space="preserve">P308</t>
  </si>
  <si>
    <t xml:space="preserve">Vincent A. Orner</t>
  </si>
  <si>
    <t xml:space="preserve">• [alleged] No allegation of any kind. JPMorgan Chase employee. Sender of the encrypted Voltage SecureMail 'Daily MTM - 7-31-13' to jeevacation@gmail.com; part of JPMorgan's Global Investment Opportunities group or Barrett Team servicing Epstein's multi-entity trading accounts.  (EFTA02673716)</t>
  </si>
  <si>
    <t xml:space="preserve">P309</t>
  </si>
  <si>
    <t xml:space="preserve">Wallace (surname only in the corpus)</t>
  </si>
  <si>
    <t xml:space="preserve">P310</t>
  </si>
  <si>
    <t xml:space="preserve">Wiebracht (surname only in the corpus)</t>
  </si>
  <si>
    <t xml:space="preserve">P311</t>
  </si>
  <si>
    <t xml:space="preserve">William Hammond</t>
  </si>
  <si>
    <t xml:space="preserve">P312</t>
  </si>
  <si>
    <t xml:space="preserve">Yoonsun Chung</t>
  </si>
  <si>
    <t xml:space="preserve">• [alleged] No allegation of criminal conduct. VP, AML Compliance, Deutsche Bank. Reviewed the 2007 Jeffrey E. Epstein Insurance Trust in November 2018 and requested beneficiary identity verification — name, address, date of birth, nationality — revealing that the compliance team was still trying to identify trust beneficiaries five years into the relationship.  (EFTA01420713)</t>
  </si>
  <si>
    <t xml:space="preserve">EFTA01420713</t>
  </si>
  <si>
    <t xml:space="preserve">P313</t>
  </si>
  <si>
    <t xml:space="preserve">[The SDNY Civil Rights Unit decision-maker who issued the July 2023 formal decline — name redacted]</t>
  </si>
  <si>
    <t xml:space="preserve">Unidentified prosecutor who issued the formal declination; Tier 6 covers prosecutors.</t>
  </si>
  <si>
    <t xml:space="preserve">Received the DANY referral and the victim testimony before declining.</t>
  </si>
  <si>
    <t xml:space="preserve">Unidentified; name redacted.</t>
  </si>
  <si>
    <t xml:space="preserve">• [alleged] The CRU formal decline: 'no evidence of overlap with Maxwell... CRU doesn't intend to open anything separate.'  (EFTA02731660 (July 22, 2023))</t>
  </si>
  <si>
    <t xml:space="preserve">• 2023-07-21: Black's $62.5M USVI settlement becomes public.
• 2023-07-22: The formal decline issues, one day later.</t>
  </si>
  <si>
    <t xml:space="preserve">THE STATED RATIONALE IS CONTRADICTED BY THE FILE IT WAS ISSUED FROM. DANY's testimony explicitly describes Maxwell introducing the minor victim to Epstein's operation. The Civil Rights Unit is the SDNY unit responsible for federal sex trafficking charges under 18 U.S.C. s.1591 — i.e. the specialized unit for exactly these charges declined them, one day after the settlement became public.</t>
  </si>
  <si>
    <t xml:space="preserve">EFTA02731660</t>
  </si>
  <si>
    <t xml:space="preserve">⚠ Identity redacted.</t>
  </si>
  <si>
    <t xml:space="preserve">P314</t>
  </si>
  <si>
    <t xml:space="preserve">[The SDNY supervisor who assessed the Leon Black case — name redacted]</t>
  </si>
  <si>
    <t xml:space="preserve">Unidentified supervisory prosecutor; Tier 6 covers prosecutors.</t>
  </si>
  <si>
    <t xml:space="preserve">Supervisory review of the assembled Black evidence.</t>
  </si>
  <si>
    <t xml:space="preserve">• [alleged] Recorded decisional statements: 'determined it was not viable' (EFTA02731486, May 30, 2023) and 'Agree with DTC' — decline to charge (EFTA02731632, Aug 1-2, 2023).  (DS12 email chain)</t>
  </si>
  <si>
    <t xml:space="preserve">• 2023-05-30: 'Determined it was not viable'.
• 2023-08-01: 'Agree with DTC'.</t>
  </si>
  <si>
    <t xml:space="preserve">Same Category C redaction as the line AUSA. Whether the failure was at the prosecutorial recommendation level or the supervisory approval level is precisely what the redactions prevent determining.</t>
  </si>
  <si>
    <t xml:space="preserve">EFTA02731486, EFTA02731632</t>
  </si>
  <si>
    <t xml:space="preserve">P315</t>
  </si>
  <si>
    <t xml:space="preserve">[The original SDNY AUSA on the Leon Black case — name redacted]</t>
  </si>
  <si>
    <t xml:space="preserve">Unidentified line prosecutor whose decisions drove the Black declination; Tier 6 covers prosecutors.</t>
  </si>
  <si>
    <t xml:space="preserve">She received all of the evidence: the victim interview, the bank statements, the journals, the medical records and the DANY briefings.</t>
  </si>
  <si>
    <t xml:space="preserve">never charged — unidentified. No accountability record exists.</t>
  </si>
  <si>
    <t xml:space="preserve">Unidentified; name redacted throughout DS12.</t>
  </si>
  <si>
    <t xml:space="preserve">• [alleged] Recorded decisional statements, quoted by the corpus: 'I did not write anything up on Leon Black and the only victim we interviewed was [redacted]' (EFTA02731771); 'I'm not inclined to open based on the other victim, for a variety of reasons' — one day after receiving the bank statements (EFTA02731578); 'I'd like to do that so it doesn't seem like we are just rebuffing the victim' (EFTA02731618); 'Sorry, I have been on trial' (EFTA02731765); 'I read these.' / 'Interesting but v complicated.' / 'I reviewed everything.' (EFTA02731732, EFTA02731754, EFTA02731775); 'not planning on reaching out' regarding the art gallery LLC lead (EFTA02731697).  (DS12 email chain)</t>
  </si>
  <si>
    <t xml:space="preserve">• 2021-04-22: First contacted by Jeanne Christensen.
• 2021-05-18: Conducts the first and only victim interview.
• 2021-05-27: Receives the bank statements.
• 2021-05-28: 'I'm not inclined to open'.
• 2021-08-17: The optics email.
• 2023-05-30: Admits 'I did not write anything up on Leon Black'.
• 2023-12-20: 'Sorry, I have been on trial'.
• 2024-03-05: 'I read these.' / 'Interesting but v complicated.'</t>
  </si>
  <si>
    <t xml:space="preserve">THE CORPUS'S CENTRAL CATEGORY C FINDING ON AN INDIVIDUAL. All AUSA names are redacted in the email chains and the concordance metadata is NULL, making it impossible to identify which prosecutor made which decision. The corpus calls the write-up admission 'the most damning prosecutorial quote in the entire document release.' This is a record of documented decision-making by an unidentified official, not an accusation of a crime. The corpus gives the gender as 'she' in one open question.</t>
  </si>
  <si>
    <t xml:space="preserve">EFTA02731771, EFTA02731578, EFTA02731618, EFTA02731765, EFTA02731732, EFTA02731754, EFTA02731775, EFTA02731697, EFTA02731684, EFTA02731699, EFTA02731526</t>
  </si>
  <si>
    <t xml:space="preserve">⚠ Identity redacted; cannot be attributed to any named person.</t>
  </si>
  <si>
    <t xml:space="preserve">P316</t>
  </si>
  <si>
    <t xml:space="preserve">[Unnamed first witness to Epstein's will, executed at MCC on August 8, 2019]</t>
  </si>
  <si>
    <t xml:space="preserve">Will witness; Tier 6 covers legal/ministerial roles. The name was not legible in the extraction provided.</t>
  </si>
  <si>
    <t xml:space="preserve">attorney, witness</t>
  </si>
  <si>
    <t xml:space="preserve">• [alleged] No allegation. Witness to Epstein's last will and testament, executed at the Metropolitan Correctional Center on August 8, 2019, two days before his death.  (DS12 expansion, EFTA02731790 series)</t>
  </si>
  <si>
    <t xml:space="preserve">• 2019-08-08: Witnesses the will at MCC, 48 hours before Epstein's death.</t>
  </si>
  <si>
    <t xml:space="preserve">The corpus does not analyse the timing of the will's execution.</t>
  </si>
  <si>
    <t xml:space="preserve">⚠ The source extract (/tmp/efta/extract_threads_13_18.md) begins mid-record and this person's name was truncated out. Recover the name from the original THREAD_13-18 material before publication.</t>
  </si>
  <si>
    <t xml:space="preserve">P317</t>
  </si>
  <si>
    <t xml:space="preserve">de Jongh (1953 Trust staff bequest — first name not given in the corpus)</t>
  </si>
  <si>
    <t xml:space="preserve">• [alleged] No allegation. Beneficiary of The 1953 Trust — $1,000,000, among the 'Staff' beneficiaries at items 20-26. DO NOT MERGE with Cecile de Jongh: the corpus lists this person only by surname and gives no basis for identifying them with the former USVI First Lady.  (EFTA01266204)</t>
  </si>
  <si>
    <t xml:space="preserve">EFTA NETWORK REGISTRY — TIER DISTRIBUTION</t>
  </si>
  <si>
    <t xml:space="preserve">Generated 31 July 2026 · 317 persons · counts are live formulas over the Registry sheet</t>
  </si>
  <si>
    <t xml:space="preserve">Definition</t>
  </si>
  <si>
    <t xml:space="preserve">Count</t>
  </si>
  <si>
    <t xml:space="preserve">% of registry</t>
  </si>
  <si>
    <t xml:space="preserve">T1</t>
  </si>
  <si>
    <t xml:space="preserve">Convicted or formally charged</t>
  </si>
  <si>
    <t xml:space="preserve">T1J</t>
  </si>
  <si>
    <t xml:space="preserve">Named in DS12 victim journals only; never charged. See caveat.</t>
  </si>
  <si>
    <t xml:space="preserve">T2</t>
  </si>
  <si>
    <t xml:space="preserve">Named co-conspirator in 2007 NPA; received immunity; never charged</t>
  </si>
  <si>
    <t xml:space="preserve">T3</t>
  </si>
  <si>
    <t xml:space="preserve">Documented concerning conduct; never charged</t>
  </si>
  <si>
    <t xml:space="preserve">T4</t>
  </si>
  <si>
    <t xml:space="preserve">Documented contact; no evidence of criminal participation</t>
  </si>
  <si>
    <t xml:space="preserve">T5</t>
  </si>
  <si>
    <t xml:space="preserve">Victim or witness</t>
  </si>
  <si>
    <t xml:space="preserve">T6</t>
  </si>
  <si>
    <t xml:space="preserve">Staff, legal, law enforcement, oversight</t>
  </si>
  <si>
    <t xml:space="preserve">TOTAL</t>
  </si>
  <si>
    <t xml:space="preserve">STRUCTURAL SPLIT</t>
  </si>
  <si>
    <t xml:space="preserve">Operators (ran the operation)</t>
  </si>
  <si>
    <t xml:space="preserve">Alleged client-abusers</t>
  </si>
  <si>
    <t xml:space="preserve">Records carrying an unverified flag</t>
  </si>
  <si>
    <t xml:space="preserve">READ THIS FIRST</t>
  </si>
  <si>
    <t xml:space="preserve">Presence in this registry does NOT establish criminal conduct. Tier reflects strength of documented evidence, not guilt.</t>
  </si>
  <si>
    <t xml:space="preserve">The overwhelming majority of people listed here have never been charged with any crime. Column K states this per person.</t>
  </si>
  <si>
    <t xml:space="preserve">T1J is a distinct band: named in the DS12 victim journals but never charged. On 25 Apr 2026 Judge Jessica Clarke (SDNY,</t>
  </si>
  <si>
    <t xml:space="preserve">Doe v. Black) found the plaintiff falsified sonogram images in those journals and barred them from trial, while denying</t>
  </si>
  <si>
    <t xml:space="preserve">case-terminating sanctions and letting the underlying rape claim proceed. Do not treat T1J as equivalent to a conviction.</t>
  </si>
  <si>
    <t xml:space="preserve">Operators (ran the operation) and client-abusers are tracked in separate columns F and G and must not be conflated.</t>
  </si>
  <si>
    <t xml:space="preserve">Column V flags every claim that could not be independently verified. Do not publish a flagged claim without re-checking.</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</si>
</sst>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FFFFFF"/>
      <name val="Arial"/>
      <family val="0"/>
      <charset val="1"/>
    </font>
    <font>
      <b val="true"/>
      <sz val="9"/>
      <color rgb="FF7D3C98"/>
      <name val="Arial"/>
      <family val="0"/>
      <charset val="1"/>
    </font>
    <font>
      <b val="true"/>
      <sz val="9"/>
      <color rgb="FFC0392B"/>
      <name val="Arial"/>
      <family val="0"/>
      <charset val="1"/>
    </font>
    <font>
      <b val="true"/>
      <sz val="14"/>
      <name val="Arial"/>
      <family val="0"/>
      <charset val="1"/>
    </font>
    <font>
      <i val="true"/>
      <sz val="9"/>
      <color rgb="FF566573"/>
      <name val="Arial"/>
      <family val="0"/>
      <charset val="1"/>
    </font>
    <font>
      <b val="true"/>
      <sz val="11"/>
      <color rgb="FFFFFFFF"/>
      <name val="Arial"/>
      <family val="0"/>
      <charset val="1"/>
    </font>
    <font>
      <sz val="10"/>
      <name val="Arial"/>
      <family val="0"/>
      <charset val="1"/>
    </font>
    <font>
      <b val="true"/>
      <sz val="11"/>
      <name val="Arial"/>
      <family val="0"/>
      <charset val="1"/>
    </font>
    <font>
      <b val="true"/>
      <sz val="11"/>
      <color rgb="FFC0392B"/>
      <name val="Arial"/>
      <family val="0"/>
      <charset val="1"/>
    </font>
  </fonts>
  <fills count="11">
    <fill>
      <patternFill patternType="none"/>
    </fill>
    <fill>
      <patternFill patternType="gray125"/>
    </fill>
    <fill>
      <patternFill patternType="solid">
        <fgColor rgb="FF1C2833"/>
        <bgColor rgb="FF333300"/>
      </patternFill>
    </fill>
    <fill>
      <patternFill patternType="solid">
        <fgColor rgb="FFC0392B"/>
        <bgColor rgb="FF993366"/>
      </patternFill>
    </fill>
    <fill>
      <patternFill patternType="solid">
        <fgColor rgb="FFE67E22"/>
        <bgColor rgb="FFCA6F1E"/>
      </patternFill>
    </fill>
    <fill>
      <patternFill patternType="solid">
        <fgColor rgb="FFFDEBD0"/>
        <bgColor rgb="FFFFFFFF"/>
      </patternFill>
    </fill>
    <fill>
      <patternFill patternType="solid">
        <fgColor rgb="FFB7950B"/>
        <bgColor rgb="FFCA6F1E"/>
      </patternFill>
    </fill>
    <fill>
      <patternFill patternType="solid">
        <fgColor rgb="FFCA6F1E"/>
        <bgColor rgb="FFE67E22"/>
      </patternFill>
    </fill>
    <fill>
      <patternFill patternType="solid">
        <fgColor rgb="FF5D6D7E"/>
        <bgColor rgb="FF566573"/>
      </patternFill>
    </fill>
    <fill>
      <patternFill patternType="solid">
        <fgColor rgb="FF2E86AB"/>
        <bgColor rgb="FF008080"/>
      </patternFill>
    </fill>
    <fill>
      <patternFill patternType="solid">
        <fgColor rgb="FF566573"/>
        <bgColor rgb="FF5D6D7E"/>
      </patternFill>
    </fill>
  </fills>
  <borders count="2">
    <border diagonalUp="false" diagonalDown="false">
      <left/>
      <right/>
      <top/>
      <bottom/>
      <diagonal/>
    </border>
    <border diagonalUp="false" diagonalDown="false">
      <left/>
      <right/>
      <top/>
      <bottom style="thin">
        <color rgb="FFD5D8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4" fillId="1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C2833"/>
          <bgColor rgb="FF000000"/>
        </patternFill>
      </fill>
    </dxf>
    <dxf>
      <fill>
        <patternFill patternType="solid">
          <bgColor rgb="FF000000"/>
        </patternFill>
      </fill>
    </dxf>
    <dxf>
      <fill>
        <patternFill patternType="solid">
          <fgColor rgb="FFFFFFFF"/>
          <bgColor rgb="FF000000"/>
        </patternFill>
      </fill>
    </dxf>
    <dxf>
      <fill>
        <patternFill patternType="solid">
          <fgColor rgb="FF2E86AB"/>
          <bgColor rgb="FF000000"/>
        </patternFill>
      </fill>
    </dxf>
    <dxf>
      <fill>
        <patternFill patternType="solid">
          <fgColor rgb="FF566573"/>
          <bgColor rgb="FF000000"/>
        </patternFill>
      </fill>
    </dxf>
    <dxf>
      <fill>
        <patternFill patternType="solid">
          <fgColor rgb="FF5D6D7E"/>
          <bgColor rgb="FF000000"/>
        </patternFill>
      </fill>
    </dxf>
    <dxf>
      <fill>
        <patternFill patternType="solid">
          <fgColor rgb="FFB7950B"/>
          <bgColor rgb="FF000000"/>
        </patternFill>
      </fill>
    </dxf>
    <dxf>
      <fill>
        <patternFill patternType="solid">
          <fgColor rgb="FFC0392B"/>
          <bgColor rgb="FF000000"/>
        </patternFill>
      </fill>
    </dxf>
    <dxf>
      <fill>
        <patternFill patternType="solid">
          <fgColor rgb="FFCA6F1E"/>
          <bgColor rgb="FF000000"/>
        </patternFill>
      </fill>
    </dxf>
    <dxf>
      <fill>
        <patternFill patternType="solid">
          <fgColor rgb="FFE67E22"/>
          <bgColor rgb="FF000000"/>
        </patternFill>
      </fill>
    </dxf>
    <dxf>
      <fill>
        <patternFill patternType="solid">
          <fgColor rgb="FF7D3C98"/>
          <bgColor rgb="FF000000"/>
        </patternFill>
      </fill>
    </dxf>
    <dxf>
      <fill>
        <patternFill patternType="solid">
          <fgColor rgb="FFFDEBD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950B"/>
      <rgbColor rgb="FF800080"/>
      <rgbColor rgb="FF008080"/>
      <rgbColor rgb="FFC0C0C0"/>
      <rgbColor rgb="FF566573"/>
      <rgbColor rgb="FF9999FF"/>
      <rgbColor rgb="FF7D3C98"/>
      <rgbColor rgb="FFFDEBD0"/>
      <rgbColor rgb="FFCCFFFF"/>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A6F1E"/>
      <rgbColor rgb="FFE67E22"/>
      <rgbColor rgb="FF5D6D7E"/>
      <rgbColor rgb="FF969696"/>
      <rgbColor rgb="FF003366"/>
      <rgbColor rgb="FF2E86AB"/>
      <rgbColor rgb="FF003300"/>
      <rgbColor rgb="FF333300"/>
      <rgbColor rgb="FFC0392B"/>
      <rgbColor rgb="FF993366"/>
      <rgbColor rgb="FF333399"/>
      <rgbColor rgb="FF1C28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42"/>
    <col collapsed="false" customWidth="true" hidden="false" outlineLevel="0" max="5" min="5" style="0" width="18"/>
    <col collapsed="false" customWidth="true" hidden="false" outlineLevel="0" max="6" min="6" style="0" width="10"/>
    <col collapsed="false" customWidth="true" hidden="false" outlineLevel="0" max="7" min="7" style="0" width="13"/>
    <col collapsed="false" customWidth="true" hidden="false" outlineLevel="0" max="8" min="8" style="0" width="26"/>
    <col collapsed="false" customWidth="true" hidden="false" outlineLevel="0" max="9" min="9" style="0" width="16"/>
    <col collapsed="false" customWidth="true" hidden="false" outlineLevel="0" max="10" min="10" style="0" width="40"/>
    <col collapsed="false" customWidth="true" hidden="false" outlineLevel="0" max="11" min="11" style="0" width="38"/>
    <col collapsed="false" customWidth="true" hidden="false" outlineLevel="0" max="12" min="12" style="0" width="32"/>
    <col collapsed="false" customWidth="true" hidden="false" outlineLevel="0" max="13" min="13" style="0" width="30"/>
    <col collapsed="false" customWidth="true" hidden="false" outlineLevel="0" max="14" min="14" style="0" width="38"/>
    <col collapsed="false" customWidth="true" hidden="false" outlineLevel="0" max="15" min="15" style="0" width="10"/>
    <col collapsed="false" customWidth="true" hidden="false" outlineLevel="0" max="16" min="16" style="0" width="38"/>
    <col collapsed="false" customWidth="true" hidden="false" outlineLevel="0" max="17" min="17" style="0" width="60"/>
    <col collapsed="false" customWidth="true" hidden="false" outlineLevel="0" max="18" min="18" style="0" width="50"/>
    <col collapsed="false" customWidth="true" hidden="false" outlineLevel="0" max="19" min="19" style="0" width="46"/>
    <col collapsed="false" customWidth="true" hidden="false" outlineLevel="0" max="20" min="20" style="0" width="22"/>
    <col collapsed="false" customWidth="true" hidden="false" outlineLevel="0" max="21" min="21" style="0" width="34"/>
    <col collapsed="false" customWidth="true" hidden="false" outlineLevel="0" max="22" min="22" style="0" width="4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99.95" hidden="false" customHeight="false" outlineLevel="0" collapsed="false">
      <c r="A2" s="2" t="s">
        <v>22</v>
      </c>
      <c r="B2" s="2" t="s">
        <v>23</v>
      </c>
      <c r="C2" s="3" t="s">
        <v>24</v>
      </c>
      <c r="D2" s="2" t="s">
        <v>25</v>
      </c>
      <c r="E2" s="2" t="s">
        <v>26</v>
      </c>
      <c r="F2" s="4" t="s">
        <v>27</v>
      </c>
      <c r="G2" s="5" t="s">
        <v>27</v>
      </c>
      <c r="H2" s="2" t="s">
        <v>28</v>
      </c>
      <c r="I2" s="2" t="s">
        <v>29</v>
      </c>
      <c r="J2" s="2" t="s">
        <v>30</v>
      </c>
      <c r="K2" s="2" t="s">
        <v>31</v>
      </c>
      <c r="L2" s="2" t="s">
        <v>32</v>
      </c>
      <c r="M2" s="2" t="s">
        <v>33</v>
      </c>
      <c r="N2" s="2" t="s">
        <v>34</v>
      </c>
      <c r="O2" s="2" t="s">
        <v>35</v>
      </c>
      <c r="P2" s="2" t="s">
        <v>36</v>
      </c>
      <c r="Q2" s="2" t="s">
        <v>37</v>
      </c>
      <c r="R2" s="2" t="s">
        <v>38</v>
      </c>
      <c r="S2" s="2"/>
      <c r="T2" s="2" t="s">
        <v>39</v>
      </c>
      <c r="U2" s="2" t="s">
        <v>40</v>
      </c>
      <c r="V2" s="2"/>
    </row>
    <row r="3" customFormat="false" ht="220.85" hidden="false" customHeight="false" outlineLevel="0" collapsed="false">
      <c r="A3" s="2" t="s">
        <v>41</v>
      </c>
      <c r="B3" s="2" t="s">
        <v>42</v>
      </c>
      <c r="C3" s="3" t="s">
        <v>24</v>
      </c>
      <c r="D3" s="2" t="s">
        <v>43</v>
      </c>
      <c r="E3" s="2" t="s">
        <v>44</v>
      </c>
      <c r="F3" s="4" t="s">
        <v>27</v>
      </c>
      <c r="G3" s="5" t="s">
        <v>27</v>
      </c>
      <c r="H3" s="2" t="s">
        <v>45</v>
      </c>
      <c r="I3" s="2" t="s">
        <v>29</v>
      </c>
      <c r="J3" s="2" t="s">
        <v>46</v>
      </c>
      <c r="K3" s="2" t="s">
        <v>47</v>
      </c>
      <c r="L3" s="2" t="s">
        <v>48</v>
      </c>
      <c r="M3" s="2" t="s">
        <v>49</v>
      </c>
      <c r="N3" s="2" t="s">
        <v>50</v>
      </c>
      <c r="O3" s="2" t="s">
        <v>51</v>
      </c>
      <c r="P3" s="2" t="s">
        <v>52</v>
      </c>
      <c r="Q3" s="2" t="s">
        <v>53</v>
      </c>
      <c r="R3" s="2" t="s">
        <v>54</v>
      </c>
      <c r="S3" s="2" t="s">
        <v>55</v>
      </c>
      <c r="T3" s="2" t="s">
        <v>56</v>
      </c>
      <c r="U3" s="2" t="s">
        <v>57</v>
      </c>
      <c r="V3" s="2"/>
    </row>
    <row r="4" customFormat="false" ht="314.9" hidden="false" customHeight="false" outlineLevel="0" collapsed="false">
      <c r="A4" s="2" t="s">
        <v>58</v>
      </c>
      <c r="B4" s="2" t="s">
        <v>59</v>
      </c>
      <c r="C4" s="3" t="s">
        <v>24</v>
      </c>
      <c r="D4" s="2" t="s">
        <v>60</v>
      </c>
      <c r="E4" s="2" t="s">
        <v>26</v>
      </c>
      <c r="F4" s="4" t="s">
        <v>27</v>
      </c>
      <c r="G4" s="5" t="s">
        <v>27</v>
      </c>
      <c r="H4" s="2" t="s">
        <v>61</v>
      </c>
      <c r="I4" s="2" t="s">
        <v>29</v>
      </c>
      <c r="J4" s="2" t="s">
        <v>62</v>
      </c>
      <c r="K4" s="2" t="s">
        <v>63</v>
      </c>
      <c r="L4" s="2" t="s">
        <v>64</v>
      </c>
      <c r="M4" s="2" t="s">
        <v>65</v>
      </c>
      <c r="N4" s="2" t="s">
        <v>66</v>
      </c>
      <c r="O4" s="2" t="s">
        <v>51</v>
      </c>
      <c r="P4" s="2" t="s">
        <v>67</v>
      </c>
      <c r="Q4" s="2" t="s">
        <v>68</v>
      </c>
      <c r="R4" s="2" t="s">
        <v>69</v>
      </c>
      <c r="S4" s="2"/>
      <c r="T4" s="2" t="s">
        <v>70</v>
      </c>
      <c r="U4" s="2" t="s">
        <v>71</v>
      </c>
      <c r="V4" s="2"/>
    </row>
    <row r="5" customFormat="false" ht="252.2" hidden="false" customHeight="false" outlineLevel="0" collapsed="false">
      <c r="A5" s="2" t="s">
        <v>72</v>
      </c>
      <c r="B5" s="2" t="s">
        <v>73</v>
      </c>
      <c r="C5" s="6" t="s">
        <v>74</v>
      </c>
      <c r="D5" s="2" t="s">
        <v>75</v>
      </c>
      <c r="E5" s="2" t="s">
        <v>76</v>
      </c>
      <c r="F5" s="2" t="s">
        <v>77</v>
      </c>
      <c r="G5" s="5" t="s">
        <v>27</v>
      </c>
      <c r="H5" s="2" t="s">
        <v>78</v>
      </c>
      <c r="I5" s="2" t="s">
        <v>79</v>
      </c>
      <c r="J5" s="2" t="s">
        <v>80</v>
      </c>
      <c r="K5" s="2" t="s">
        <v>81</v>
      </c>
      <c r="L5" s="2" t="s">
        <v>82</v>
      </c>
      <c r="M5" s="2" t="s">
        <v>83</v>
      </c>
      <c r="N5" s="2" t="s">
        <v>84</v>
      </c>
      <c r="O5" s="2" t="s">
        <v>35</v>
      </c>
      <c r="P5" s="2" t="s">
        <v>85</v>
      </c>
      <c r="Q5" s="2" t="s">
        <v>86</v>
      </c>
      <c r="R5" s="2" t="s">
        <v>87</v>
      </c>
      <c r="S5" s="2" t="s">
        <v>88</v>
      </c>
      <c r="T5" s="2" t="s">
        <v>89</v>
      </c>
      <c r="U5" s="2" t="s">
        <v>90</v>
      </c>
      <c r="V5" s="7" t="s">
        <v>91</v>
      </c>
    </row>
    <row r="6" customFormat="false" ht="450" hidden="false" customHeight="false" outlineLevel="0" collapsed="false">
      <c r="A6" s="2" t="s">
        <v>92</v>
      </c>
      <c r="B6" s="2" t="s">
        <v>93</v>
      </c>
      <c r="C6" s="6" t="s">
        <v>74</v>
      </c>
      <c r="D6" s="2" t="s">
        <v>75</v>
      </c>
      <c r="E6" s="2" t="s">
        <v>94</v>
      </c>
      <c r="F6" s="2" t="s">
        <v>77</v>
      </c>
      <c r="G6" s="5" t="s">
        <v>27</v>
      </c>
      <c r="H6" s="2" t="s">
        <v>95</v>
      </c>
      <c r="I6" s="2" t="s">
        <v>96</v>
      </c>
      <c r="J6" s="2" t="s">
        <v>97</v>
      </c>
      <c r="K6" s="2" t="s">
        <v>98</v>
      </c>
      <c r="L6" s="2" t="s">
        <v>99</v>
      </c>
      <c r="M6" s="2" t="s">
        <v>100</v>
      </c>
      <c r="N6" s="2" t="s">
        <v>101</v>
      </c>
      <c r="O6" s="2" t="s">
        <v>35</v>
      </c>
      <c r="P6" s="2" t="s">
        <v>102</v>
      </c>
      <c r="Q6" s="2" t="s">
        <v>103</v>
      </c>
      <c r="R6" s="2" t="s">
        <v>104</v>
      </c>
      <c r="S6" s="2" t="s">
        <v>105</v>
      </c>
      <c r="T6" s="2" t="s">
        <v>106</v>
      </c>
      <c r="U6" s="2" t="s">
        <v>107</v>
      </c>
      <c r="V6" s="7" t="s">
        <v>108</v>
      </c>
    </row>
    <row r="7" customFormat="false" ht="231.3" hidden="false" customHeight="false" outlineLevel="0" collapsed="false">
      <c r="A7" s="2" t="s">
        <v>109</v>
      </c>
      <c r="B7" s="2" t="s">
        <v>110</v>
      </c>
      <c r="C7" s="6" t="s">
        <v>74</v>
      </c>
      <c r="D7" s="2" t="s">
        <v>75</v>
      </c>
      <c r="E7" s="2" t="s">
        <v>94</v>
      </c>
      <c r="F7" s="2" t="s">
        <v>77</v>
      </c>
      <c r="G7" s="5" t="s">
        <v>27</v>
      </c>
      <c r="H7" s="2" t="s">
        <v>111</v>
      </c>
      <c r="I7" s="2" t="s">
        <v>96</v>
      </c>
      <c r="J7" s="2" t="s">
        <v>96</v>
      </c>
      <c r="K7" s="2" t="s">
        <v>112</v>
      </c>
      <c r="L7" s="2" t="s">
        <v>113</v>
      </c>
      <c r="M7" s="2" t="s">
        <v>114</v>
      </c>
      <c r="N7" s="2" t="s">
        <v>115</v>
      </c>
      <c r="O7" s="2" t="s">
        <v>35</v>
      </c>
      <c r="P7" s="2" t="s">
        <v>116</v>
      </c>
      <c r="Q7" s="2" t="s">
        <v>117</v>
      </c>
      <c r="R7" s="2" t="s">
        <v>118</v>
      </c>
      <c r="S7" s="2" t="s">
        <v>88</v>
      </c>
      <c r="T7" s="2" t="s">
        <v>119</v>
      </c>
      <c r="U7" s="2" t="s">
        <v>120</v>
      </c>
      <c r="V7" s="7" t="s">
        <v>121</v>
      </c>
    </row>
    <row r="8" customFormat="false" ht="105.95" hidden="false" customHeight="false" outlineLevel="0" collapsed="false">
      <c r="A8" s="2" t="s">
        <v>122</v>
      </c>
      <c r="B8" s="2" t="s">
        <v>123</v>
      </c>
      <c r="C8" s="6" t="s">
        <v>74</v>
      </c>
      <c r="D8" s="2" t="s">
        <v>75</v>
      </c>
      <c r="E8" s="2" t="s">
        <v>94</v>
      </c>
      <c r="F8" s="2" t="s">
        <v>77</v>
      </c>
      <c r="G8" s="5" t="s">
        <v>27</v>
      </c>
      <c r="H8" s="2" t="s">
        <v>124</v>
      </c>
      <c r="I8" s="2" t="s">
        <v>96</v>
      </c>
      <c r="J8" s="2" t="s">
        <v>96</v>
      </c>
      <c r="K8" s="2" t="s">
        <v>81</v>
      </c>
      <c r="L8" s="2" t="s">
        <v>125</v>
      </c>
      <c r="M8" s="2" t="s">
        <v>126</v>
      </c>
      <c r="N8" s="2" t="s">
        <v>127</v>
      </c>
      <c r="O8" s="2" t="s">
        <v>35</v>
      </c>
      <c r="P8" s="2" t="s">
        <v>128</v>
      </c>
      <c r="Q8" s="2" t="s">
        <v>129</v>
      </c>
      <c r="R8" s="2" t="s">
        <v>130</v>
      </c>
      <c r="S8" s="2" t="s">
        <v>131</v>
      </c>
      <c r="T8" s="2" t="s">
        <v>132</v>
      </c>
      <c r="U8" s="2" t="s">
        <v>133</v>
      </c>
      <c r="V8" s="7" t="s">
        <v>134</v>
      </c>
    </row>
    <row r="9" customFormat="false" ht="450" hidden="false" customHeight="false" outlineLevel="0" collapsed="false">
      <c r="A9" s="2" t="s">
        <v>135</v>
      </c>
      <c r="B9" s="2" t="s">
        <v>136</v>
      </c>
      <c r="C9" s="6" t="s">
        <v>74</v>
      </c>
      <c r="D9" s="2" t="s">
        <v>75</v>
      </c>
      <c r="E9" s="2" t="s">
        <v>94</v>
      </c>
      <c r="F9" s="2" t="s">
        <v>77</v>
      </c>
      <c r="G9" s="5" t="s">
        <v>27</v>
      </c>
      <c r="H9" s="2" t="s">
        <v>111</v>
      </c>
      <c r="I9" s="2" t="s">
        <v>96</v>
      </c>
      <c r="J9" s="2" t="s">
        <v>137</v>
      </c>
      <c r="K9" s="2" t="s">
        <v>138</v>
      </c>
      <c r="L9" s="2" t="s">
        <v>139</v>
      </c>
      <c r="M9" s="2" t="s">
        <v>140</v>
      </c>
      <c r="N9" s="2" t="s">
        <v>141</v>
      </c>
      <c r="O9" s="2" t="s">
        <v>35</v>
      </c>
      <c r="P9" s="2" t="s">
        <v>142</v>
      </c>
      <c r="Q9" s="2" t="s">
        <v>143</v>
      </c>
      <c r="R9" s="2" t="s">
        <v>144</v>
      </c>
      <c r="S9" s="2" t="s">
        <v>105</v>
      </c>
      <c r="T9" s="2" t="s">
        <v>132</v>
      </c>
      <c r="U9" s="2" t="s">
        <v>145</v>
      </c>
      <c r="V9" s="2"/>
    </row>
    <row r="10" customFormat="false" ht="116.4" hidden="false" customHeight="false" outlineLevel="0" collapsed="false">
      <c r="A10" s="2" t="s">
        <v>146</v>
      </c>
      <c r="B10" s="2" t="s">
        <v>147</v>
      </c>
      <c r="C10" s="6" t="s">
        <v>74</v>
      </c>
      <c r="D10" s="2" t="s">
        <v>75</v>
      </c>
      <c r="E10" s="2" t="s">
        <v>94</v>
      </c>
      <c r="F10" s="2" t="s">
        <v>77</v>
      </c>
      <c r="G10" s="2" t="s">
        <v>77</v>
      </c>
      <c r="H10" s="2" t="s">
        <v>124</v>
      </c>
      <c r="I10" s="2" t="s">
        <v>96</v>
      </c>
      <c r="J10" s="2" t="s">
        <v>96</v>
      </c>
      <c r="K10" s="2" t="s">
        <v>81</v>
      </c>
      <c r="L10" s="2" t="s">
        <v>148</v>
      </c>
      <c r="M10" s="2" t="s">
        <v>149</v>
      </c>
      <c r="N10" s="2" t="s">
        <v>150</v>
      </c>
      <c r="O10" s="2" t="s">
        <v>51</v>
      </c>
      <c r="P10" s="2" t="s">
        <v>151</v>
      </c>
      <c r="Q10" s="2" t="s">
        <v>152</v>
      </c>
      <c r="R10" s="2" t="s">
        <v>153</v>
      </c>
      <c r="S10" s="2" t="s">
        <v>154</v>
      </c>
      <c r="T10" s="2" t="s">
        <v>132</v>
      </c>
      <c r="U10" s="2"/>
      <c r="V10" s="7" t="s">
        <v>155</v>
      </c>
    </row>
    <row r="11" customFormat="false" ht="450" hidden="false" customHeight="false" outlineLevel="0" collapsed="false">
      <c r="A11" s="2" t="s">
        <v>156</v>
      </c>
      <c r="B11" s="2" t="s">
        <v>157</v>
      </c>
      <c r="C11" s="6" t="s">
        <v>74</v>
      </c>
      <c r="D11" s="2" t="s">
        <v>75</v>
      </c>
      <c r="E11" s="2" t="s">
        <v>94</v>
      </c>
      <c r="F11" s="2" t="s">
        <v>77</v>
      </c>
      <c r="G11" s="5" t="s">
        <v>27</v>
      </c>
      <c r="H11" s="2" t="s">
        <v>158</v>
      </c>
      <c r="I11" s="2" t="s">
        <v>96</v>
      </c>
      <c r="J11" s="2" t="s">
        <v>159</v>
      </c>
      <c r="K11" s="2" t="s">
        <v>160</v>
      </c>
      <c r="L11" s="2" t="s">
        <v>148</v>
      </c>
      <c r="M11" s="2" t="s">
        <v>161</v>
      </c>
      <c r="N11" s="2" t="s">
        <v>162</v>
      </c>
      <c r="O11" s="2" t="s">
        <v>35</v>
      </c>
      <c r="P11" s="2" t="s">
        <v>163</v>
      </c>
      <c r="Q11" s="2" t="s">
        <v>164</v>
      </c>
      <c r="R11" s="2" t="s">
        <v>165</v>
      </c>
      <c r="S11" s="2" t="s">
        <v>105</v>
      </c>
      <c r="T11" s="2" t="s">
        <v>166</v>
      </c>
      <c r="U11" s="2" t="s">
        <v>167</v>
      </c>
      <c r="V11" s="7" t="s">
        <v>168</v>
      </c>
    </row>
    <row r="12" customFormat="false" ht="231.3" hidden="false" customHeight="false" outlineLevel="0" collapsed="false">
      <c r="A12" s="2" t="s">
        <v>169</v>
      </c>
      <c r="B12" s="2" t="s">
        <v>170</v>
      </c>
      <c r="C12" s="6" t="s">
        <v>74</v>
      </c>
      <c r="D12" s="2" t="s">
        <v>75</v>
      </c>
      <c r="E12" s="2" t="s">
        <v>94</v>
      </c>
      <c r="F12" s="2" t="s">
        <v>77</v>
      </c>
      <c r="G12" s="5" t="s">
        <v>27</v>
      </c>
      <c r="H12" s="2" t="s">
        <v>171</v>
      </c>
      <c r="I12" s="2" t="s">
        <v>96</v>
      </c>
      <c r="J12" s="2" t="s">
        <v>96</v>
      </c>
      <c r="K12" s="2" t="s">
        <v>172</v>
      </c>
      <c r="L12" s="2" t="s">
        <v>173</v>
      </c>
      <c r="M12" s="2" t="s">
        <v>174</v>
      </c>
      <c r="N12" s="2" t="s">
        <v>175</v>
      </c>
      <c r="O12" s="2" t="s">
        <v>51</v>
      </c>
      <c r="P12" s="2" t="s">
        <v>176</v>
      </c>
      <c r="Q12" s="2" t="s">
        <v>177</v>
      </c>
      <c r="R12" s="2" t="s">
        <v>178</v>
      </c>
      <c r="S12" s="2" t="s">
        <v>88</v>
      </c>
      <c r="T12" s="2" t="s">
        <v>132</v>
      </c>
      <c r="U12" s="2" t="s">
        <v>179</v>
      </c>
      <c r="V12" s="2"/>
    </row>
    <row r="13" customFormat="false" ht="126.85" hidden="false" customHeight="false" outlineLevel="0" collapsed="false">
      <c r="A13" s="2" t="s">
        <v>180</v>
      </c>
      <c r="B13" s="2" t="s">
        <v>181</v>
      </c>
      <c r="C13" s="6" t="s">
        <v>74</v>
      </c>
      <c r="D13" s="2" t="s">
        <v>75</v>
      </c>
      <c r="E13" s="2" t="s">
        <v>94</v>
      </c>
      <c r="F13" s="2" t="s">
        <v>77</v>
      </c>
      <c r="G13" s="5" t="s">
        <v>27</v>
      </c>
      <c r="H13" s="2" t="s">
        <v>124</v>
      </c>
      <c r="I13" s="2" t="s">
        <v>96</v>
      </c>
      <c r="J13" s="2" t="s">
        <v>96</v>
      </c>
      <c r="K13" s="2" t="s">
        <v>81</v>
      </c>
      <c r="L13" s="2" t="s">
        <v>113</v>
      </c>
      <c r="M13" s="2" t="s">
        <v>182</v>
      </c>
      <c r="N13" s="2" t="s">
        <v>183</v>
      </c>
      <c r="O13" s="2" t="s">
        <v>35</v>
      </c>
      <c r="P13" s="2" t="s">
        <v>128</v>
      </c>
      <c r="Q13" s="2" t="s">
        <v>184</v>
      </c>
      <c r="R13" s="2"/>
      <c r="S13" s="2" t="s">
        <v>131</v>
      </c>
      <c r="T13" s="2" t="s">
        <v>132</v>
      </c>
      <c r="U13" s="2"/>
      <c r="V13" s="7" t="s">
        <v>185</v>
      </c>
    </row>
    <row r="14" customFormat="false" ht="105.95" hidden="false" customHeight="false" outlineLevel="0" collapsed="false">
      <c r="A14" s="2" t="s">
        <v>186</v>
      </c>
      <c r="B14" s="2" t="s">
        <v>187</v>
      </c>
      <c r="C14" s="6" t="s">
        <v>74</v>
      </c>
      <c r="D14" s="2" t="s">
        <v>75</v>
      </c>
      <c r="E14" s="2" t="s">
        <v>94</v>
      </c>
      <c r="F14" s="2" t="s">
        <v>77</v>
      </c>
      <c r="G14" s="5" t="s">
        <v>27</v>
      </c>
      <c r="H14" s="2" t="s">
        <v>124</v>
      </c>
      <c r="I14" s="2" t="s">
        <v>96</v>
      </c>
      <c r="J14" s="2" t="s">
        <v>96</v>
      </c>
      <c r="K14" s="2" t="s">
        <v>81</v>
      </c>
      <c r="L14" s="2" t="s">
        <v>113</v>
      </c>
      <c r="M14" s="2" t="s">
        <v>182</v>
      </c>
      <c r="N14" s="2" t="s">
        <v>188</v>
      </c>
      <c r="O14" s="2" t="s">
        <v>35</v>
      </c>
      <c r="P14" s="2" t="s">
        <v>128</v>
      </c>
      <c r="Q14" s="2" t="s">
        <v>189</v>
      </c>
      <c r="R14" s="2"/>
      <c r="S14" s="2" t="s">
        <v>131</v>
      </c>
      <c r="T14" s="2" t="s">
        <v>132</v>
      </c>
      <c r="U14" s="2"/>
      <c r="V14" s="7" t="s">
        <v>190</v>
      </c>
    </row>
    <row r="15" customFormat="false" ht="147.75" hidden="false" customHeight="false" outlineLevel="0" collapsed="false">
      <c r="A15" s="2" t="s">
        <v>191</v>
      </c>
      <c r="B15" s="2" t="s">
        <v>192</v>
      </c>
      <c r="C15" s="8" t="s">
        <v>193</v>
      </c>
      <c r="D15" s="2" t="s">
        <v>194</v>
      </c>
      <c r="E15" s="2" t="s">
        <v>44</v>
      </c>
      <c r="F15" s="4" t="s">
        <v>27</v>
      </c>
      <c r="G15" s="2" t="s">
        <v>77</v>
      </c>
      <c r="H15" s="2" t="s">
        <v>195</v>
      </c>
      <c r="I15" s="2" t="s">
        <v>79</v>
      </c>
      <c r="J15" s="2" t="s">
        <v>196</v>
      </c>
      <c r="K15" s="2" t="s">
        <v>197</v>
      </c>
      <c r="L15" s="2" t="s">
        <v>198</v>
      </c>
      <c r="M15" s="2" t="s">
        <v>114</v>
      </c>
      <c r="N15" s="2" t="s">
        <v>199</v>
      </c>
      <c r="O15" s="2" t="s">
        <v>96</v>
      </c>
      <c r="P15" s="2" t="s">
        <v>200</v>
      </c>
      <c r="Q15" s="2" t="s">
        <v>201</v>
      </c>
      <c r="R15" s="2" t="s">
        <v>202</v>
      </c>
      <c r="S15" s="2" t="s">
        <v>203</v>
      </c>
      <c r="T15" s="2" t="s">
        <v>204</v>
      </c>
      <c r="U15" s="2" t="s">
        <v>205</v>
      </c>
      <c r="V15" s="7" t="s">
        <v>206</v>
      </c>
    </row>
    <row r="16" customFormat="false" ht="210.4" hidden="false" customHeight="false" outlineLevel="0" collapsed="false">
      <c r="A16" s="2" t="s">
        <v>207</v>
      </c>
      <c r="B16" s="2" t="s">
        <v>208</v>
      </c>
      <c r="C16" s="8" t="s">
        <v>193</v>
      </c>
      <c r="D16" s="2" t="s">
        <v>209</v>
      </c>
      <c r="E16" s="2" t="s">
        <v>210</v>
      </c>
      <c r="F16" s="4" t="s">
        <v>27</v>
      </c>
      <c r="G16" s="2" t="s">
        <v>77</v>
      </c>
      <c r="H16" s="2" t="s">
        <v>211</v>
      </c>
      <c r="I16" s="2" t="s">
        <v>79</v>
      </c>
      <c r="J16" s="2" t="s">
        <v>212</v>
      </c>
      <c r="K16" s="2" t="s">
        <v>197</v>
      </c>
      <c r="L16" s="2" t="s">
        <v>213</v>
      </c>
      <c r="M16" s="2" t="s">
        <v>114</v>
      </c>
      <c r="N16" s="2" t="s">
        <v>214</v>
      </c>
      <c r="O16" s="2" t="s">
        <v>35</v>
      </c>
      <c r="P16" s="2" t="s">
        <v>215</v>
      </c>
      <c r="Q16" s="2" t="s">
        <v>216</v>
      </c>
      <c r="R16" s="2" t="s">
        <v>217</v>
      </c>
      <c r="S16" s="2" t="s">
        <v>218</v>
      </c>
      <c r="T16" s="2" t="s">
        <v>219</v>
      </c>
      <c r="U16" s="2" t="s">
        <v>220</v>
      </c>
      <c r="V16" s="7" t="s">
        <v>221</v>
      </c>
    </row>
    <row r="17" customFormat="false" ht="147.75" hidden="false" customHeight="false" outlineLevel="0" collapsed="false">
      <c r="A17" s="2" t="s">
        <v>222</v>
      </c>
      <c r="B17" s="2" t="s">
        <v>223</v>
      </c>
      <c r="C17" s="8" t="s">
        <v>193</v>
      </c>
      <c r="D17" s="2" t="s">
        <v>224</v>
      </c>
      <c r="E17" s="2" t="s">
        <v>44</v>
      </c>
      <c r="F17" s="4" t="s">
        <v>27</v>
      </c>
      <c r="G17" s="2" t="s">
        <v>77</v>
      </c>
      <c r="H17" s="2" t="s">
        <v>225</v>
      </c>
      <c r="I17" s="2" t="s">
        <v>79</v>
      </c>
      <c r="J17" s="2" t="s">
        <v>226</v>
      </c>
      <c r="K17" s="2" t="s">
        <v>197</v>
      </c>
      <c r="L17" s="2" t="s">
        <v>227</v>
      </c>
      <c r="M17" s="2" t="s">
        <v>114</v>
      </c>
      <c r="N17" s="2" t="s">
        <v>228</v>
      </c>
      <c r="O17" s="2" t="s">
        <v>96</v>
      </c>
      <c r="P17" s="2" t="s">
        <v>229</v>
      </c>
      <c r="Q17" s="2" t="s">
        <v>230</v>
      </c>
      <c r="R17" s="2" t="s">
        <v>231</v>
      </c>
      <c r="S17" s="2" t="s">
        <v>232</v>
      </c>
      <c r="T17" s="2" t="s">
        <v>233</v>
      </c>
      <c r="U17" s="2" t="s">
        <v>205</v>
      </c>
      <c r="V17" s="7" t="s">
        <v>234</v>
      </c>
    </row>
    <row r="18" customFormat="false" ht="231.3" hidden="false" customHeight="false" outlineLevel="0" collapsed="false">
      <c r="A18" s="2" t="s">
        <v>235</v>
      </c>
      <c r="B18" s="2" t="s">
        <v>236</v>
      </c>
      <c r="C18" s="8" t="s">
        <v>193</v>
      </c>
      <c r="D18" s="2" t="s">
        <v>237</v>
      </c>
      <c r="E18" s="2" t="s">
        <v>44</v>
      </c>
      <c r="F18" s="4" t="s">
        <v>27</v>
      </c>
      <c r="G18" s="2" t="s">
        <v>77</v>
      </c>
      <c r="H18" s="2" t="s">
        <v>238</v>
      </c>
      <c r="I18" s="2" t="s">
        <v>79</v>
      </c>
      <c r="J18" s="2" t="s">
        <v>239</v>
      </c>
      <c r="K18" s="2" t="s">
        <v>240</v>
      </c>
      <c r="L18" s="2" t="s">
        <v>241</v>
      </c>
      <c r="M18" s="2" t="s">
        <v>114</v>
      </c>
      <c r="N18" s="2" t="s">
        <v>242</v>
      </c>
      <c r="O18" s="2" t="s">
        <v>35</v>
      </c>
      <c r="P18" s="2" t="s">
        <v>243</v>
      </c>
      <c r="Q18" s="2" t="s">
        <v>244</v>
      </c>
      <c r="R18" s="2" t="s">
        <v>245</v>
      </c>
      <c r="S18" s="2" t="s">
        <v>246</v>
      </c>
      <c r="T18" s="2" t="s">
        <v>247</v>
      </c>
      <c r="U18" s="2" t="s">
        <v>248</v>
      </c>
      <c r="V18" s="7" t="s">
        <v>249</v>
      </c>
    </row>
    <row r="19" customFormat="false" ht="74.6" hidden="false" customHeight="false" outlineLevel="0" collapsed="false">
      <c r="A19" s="2" t="s">
        <v>250</v>
      </c>
      <c r="B19" s="2" t="s">
        <v>251</v>
      </c>
      <c r="C19" s="9" t="s">
        <v>252</v>
      </c>
      <c r="D19" s="2" t="s">
        <v>253</v>
      </c>
      <c r="E19" s="2" t="s">
        <v>94</v>
      </c>
      <c r="F19" s="2" t="s">
        <v>77</v>
      </c>
      <c r="G19" s="5" t="s">
        <v>27</v>
      </c>
      <c r="H19" s="2"/>
      <c r="I19" s="2" t="s">
        <v>96</v>
      </c>
      <c r="J19" s="2" t="s">
        <v>254</v>
      </c>
      <c r="K19" s="2" t="s">
        <v>255</v>
      </c>
      <c r="L19" s="2" t="s">
        <v>256</v>
      </c>
      <c r="M19" s="2" t="s">
        <v>256</v>
      </c>
      <c r="N19" s="2" t="s">
        <v>257</v>
      </c>
      <c r="O19" s="2" t="s">
        <v>96</v>
      </c>
      <c r="P19" s="2" t="s">
        <v>258</v>
      </c>
      <c r="Q19" s="2" t="s">
        <v>259</v>
      </c>
      <c r="R19" s="2" t="s">
        <v>260</v>
      </c>
      <c r="S19" s="2" t="s">
        <v>261</v>
      </c>
      <c r="T19" s="2" t="s">
        <v>262</v>
      </c>
      <c r="U19" s="2"/>
      <c r="V19" s="7" t="s">
        <v>263</v>
      </c>
    </row>
    <row r="20" customFormat="false" ht="43.25" hidden="false" customHeight="false" outlineLevel="0" collapsed="false">
      <c r="A20" s="2" t="s">
        <v>264</v>
      </c>
      <c r="B20" s="2" t="s">
        <v>265</v>
      </c>
      <c r="C20" s="9" t="s">
        <v>252</v>
      </c>
      <c r="D20" s="2" t="s">
        <v>266</v>
      </c>
      <c r="E20" s="2" t="s">
        <v>267</v>
      </c>
      <c r="F20" s="2" t="s">
        <v>77</v>
      </c>
      <c r="G20" s="2" t="s">
        <v>77</v>
      </c>
      <c r="H20" s="2" t="s">
        <v>268</v>
      </c>
      <c r="I20" s="2" t="s">
        <v>79</v>
      </c>
      <c r="J20" s="2" t="s">
        <v>269</v>
      </c>
      <c r="K20" s="2" t="s">
        <v>270</v>
      </c>
      <c r="L20" s="2" t="s">
        <v>256</v>
      </c>
      <c r="M20" s="2" t="s">
        <v>256</v>
      </c>
      <c r="N20" s="2" t="s">
        <v>271</v>
      </c>
      <c r="O20" s="2" t="s">
        <v>96</v>
      </c>
      <c r="P20" s="2" t="s">
        <v>258</v>
      </c>
      <c r="Q20" s="2" t="s">
        <v>272</v>
      </c>
      <c r="R20" s="2" t="s">
        <v>273</v>
      </c>
      <c r="S20" s="2" t="s">
        <v>274</v>
      </c>
      <c r="T20" s="2" t="s">
        <v>275</v>
      </c>
      <c r="U20" s="2"/>
      <c r="V20" s="7" t="s">
        <v>276</v>
      </c>
    </row>
    <row r="21" customFormat="false" ht="252.2" hidden="false" customHeight="false" outlineLevel="0" collapsed="false">
      <c r="A21" s="2" t="s">
        <v>277</v>
      </c>
      <c r="B21" s="2" t="s">
        <v>278</v>
      </c>
      <c r="C21" s="9" t="s">
        <v>252</v>
      </c>
      <c r="D21" s="2" t="s">
        <v>279</v>
      </c>
      <c r="E21" s="2" t="s">
        <v>94</v>
      </c>
      <c r="F21" s="2" t="s">
        <v>77</v>
      </c>
      <c r="G21" s="5" t="s">
        <v>27</v>
      </c>
      <c r="H21" s="2" t="s">
        <v>280</v>
      </c>
      <c r="I21" s="2" t="s">
        <v>96</v>
      </c>
      <c r="J21" s="2" t="s">
        <v>281</v>
      </c>
      <c r="K21" s="2" t="s">
        <v>282</v>
      </c>
      <c r="L21" s="2" t="s">
        <v>283</v>
      </c>
      <c r="M21" s="2" t="s">
        <v>284</v>
      </c>
      <c r="N21" s="2" t="s">
        <v>285</v>
      </c>
      <c r="O21" s="2" t="s">
        <v>35</v>
      </c>
      <c r="P21" s="2" t="s">
        <v>286</v>
      </c>
      <c r="Q21" s="2" t="s">
        <v>287</v>
      </c>
      <c r="R21" s="2" t="s">
        <v>288</v>
      </c>
      <c r="S21" s="2" t="s">
        <v>289</v>
      </c>
      <c r="T21" s="2" t="s">
        <v>290</v>
      </c>
      <c r="U21" s="2" t="s">
        <v>291</v>
      </c>
      <c r="V21" s="7" t="s">
        <v>292</v>
      </c>
    </row>
    <row r="22" customFormat="false" ht="126.85" hidden="false" customHeight="false" outlineLevel="0" collapsed="false">
      <c r="A22" s="2" t="s">
        <v>293</v>
      </c>
      <c r="B22" s="2" t="s">
        <v>294</v>
      </c>
      <c r="C22" s="9" t="s">
        <v>252</v>
      </c>
      <c r="D22" s="2" t="s">
        <v>295</v>
      </c>
      <c r="E22" s="2" t="s">
        <v>296</v>
      </c>
      <c r="F22" s="2" t="s">
        <v>77</v>
      </c>
      <c r="G22" s="2" t="s">
        <v>77</v>
      </c>
      <c r="H22" s="2" t="s">
        <v>297</v>
      </c>
      <c r="I22" s="2" t="s">
        <v>96</v>
      </c>
      <c r="J22" s="2" t="s">
        <v>298</v>
      </c>
      <c r="K22" s="2" t="s">
        <v>299</v>
      </c>
      <c r="L22" s="2" t="s">
        <v>113</v>
      </c>
      <c r="M22" s="2" t="s">
        <v>114</v>
      </c>
      <c r="N22" s="2" t="s">
        <v>300</v>
      </c>
      <c r="O22" s="2" t="s">
        <v>35</v>
      </c>
      <c r="P22" s="2" t="s">
        <v>301</v>
      </c>
      <c r="Q22" s="2" t="s">
        <v>302</v>
      </c>
      <c r="R22" s="2" t="s">
        <v>303</v>
      </c>
      <c r="S22" s="2" t="s">
        <v>304</v>
      </c>
      <c r="T22" s="2"/>
      <c r="U22" s="2" t="s">
        <v>305</v>
      </c>
      <c r="V22" s="7" t="s">
        <v>306</v>
      </c>
    </row>
    <row r="23" customFormat="false" ht="64.15" hidden="false" customHeight="false" outlineLevel="0" collapsed="false">
      <c r="A23" s="2" t="s">
        <v>307</v>
      </c>
      <c r="B23" s="2" t="s">
        <v>308</v>
      </c>
      <c r="C23" s="9" t="s">
        <v>252</v>
      </c>
      <c r="D23" s="2" t="s">
        <v>309</v>
      </c>
      <c r="E23" s="2" t="s">
        <v>44</v>
      </c>
      <c r="F23" s="2" t="s">
        <v>77</v>
      </c>
      <c r="G23" s="2" t="s">
        <v>77</v>
      </c>
      <c r="H23" s="2" t="s">
        <v>310</v>
      </c>
      <c r="I23" s="2" t="s">
        <v>96</v>
      </c>
      <c r="J23" s="2" t="s">
        <v>96</v>
      </c>
      <c r="K23" s="2" t="s">
        <v>311</v>
      </c>
      <c r="L23" s="2" t="s">
        <v>256</v>
      </c>
      <c r="M23" s="2" t="s">
        <v>256</v>
      </c>
      <c r="N23" s="2" t="s">
        <v>312</v>
      </c>
      <c r="O23" s="2" t="s">
        <v>96</v>
      </c>
      <c r="P23" s="2" t="s">
        <v>258</v>
      </c>
      <c r="Q23" s="2" t="s">
        <v>313</v>
      </c>
      <c r="R23" s="2" t="s">
        <v>314</v>
      </c>
      <c r="S23" s="2" t="s">
        <v>315</v>
      </c>
      <c r="T23" s="2" t="s">
        <v>316</v>
      </c>
      <c r="U23" s="2"/>
      <c r="V23" s="7" t="s">
        <v>317</v>
      </c>
    </row>
    <row r="24" customFormat="false" ht="105.95" hidden="false" customHeight="false" outlineLevel="0" collapsed="false">
      <c r="A24" s="2" t="s">
        <v>318</v>
      </c>
      <c r="B24" s="2" t="s">
        <v>319</v>
      </c>
      <c r="C24" s="9" t="s">
        <v>252</v>
      </c>
      <c r="D24" s="2" t="s">
        <v>320</v>
      </c>
      <c r="E24" s="2" t="s">
        <v>94</v>
      </c>
      <c r="F24" s="2" t="s">
        <v>77</v>
      </c>
      <c r="G24" s="5" t="s">
        <v>27</v>
      </c>
      <c r="H24" s="2" t="s">
        <v>321</v>
      </c>
      <c r="I24" s="2" t="s">
        <v>96</v>
      </c>
      <c r="J24" s="2" t="s">
        <v>322</v>
      </c>
      <c r="K24" s="2" t="s">
        <v>255</v>
      </c>
      <c r="L24" s="2" t="s">
        <v>256</v>
      </c>
      <c r="M24" s="2" t="s">
        <v>256</v>
      </c>
      <c r="N24" s="2" t="s">
        <v>323</v>
      </c>
      <c r="O24" s="2" t="s">
        <v>96</v>
      </c>
      <c r="P24" s="2" t="s">
        <v>324</v>
      </c>
      <c r="Q24" s="2" t="s">
        <v>325</v>
      </c>
      <c r="R24" s="2" t="s">
        <v>326</v>
      </c>
      <c r="S24" s="2" t="s">
        <v>327</v>
      </c>
      <c r="T24" s="2" t="s">
        <v>328</v>
      </c>
      <c r="U24" s="2"/>
      <c r="V24" s="7" t="s">
        <v>329</v>
      </c>
    </row>
    <row r="25" customFormat="false" ht="231.3" hidden="false" customHeight="false" outlineLevel="0" collapsed="false">
      <c r="A25" s="2" t="s">
        <v>330</v>
      </c>
      <c r="B25" s="2" t="s">
        <v>331</v>
      </c>
      <c r="C25" s="9" t="s">
        <v>252</v>
      </c>
      <c r="D25" s="2" t="s">
        <v>332</v>
      </c>
      <c r="E25" s="2" t="s">
        <v>94</v>
      </c>
      <c r="F25" s="2" t="s">
        <v>77</v>
      </c>
      <c r="G25" s="5" t="s">
        <v>27</v>
      </c>
      <c r="H25" s="2" t="s">
        <v>124</v>
      </c>
      <c r="I25" s="2" t="s">
        <v>96</v>
      </c>
      <c r="J25" s="2" t="s">
        <v>333</v>
      </c>
      <c r="K25" s="2" t="s">
        <v>334</v>
      </c>
      <c r="L25" s="2" t="s">
        <v>335</v>
      </c>
      <c r="M25" s="2" t="s">
        <v>336</v>
      </c>
      <c r="N25" s="2" t="s">
        <v>337</v>
      </c>
      <c r="O25" s="2" t="s">
        <v>35</v>
      </c>
      <c r="P25" s="2" t="s">
        <v>338</v>
      </c>
      <c r="Q25" s="2" t="s">
        <v>339</v>
      </c>
      <c r="R25" s="2" t="s">
        <v>340</v>
      </c>
      <c r="S25" s="2" t="s">
        <v>88</v>
      </c>
      <c r="T25" s="2" t="s">
        <v>341</v>
      </c>
      <c r="U25" s="2" t="s">
        <v>342</v>
      </c>
      <c r="V25" s="7" t="s">
        <v>343</v>
      </c>
    </row>
    <row r="26" customFormat="false" ht="126.85" hidden="false" customHeight="false" outlineLevel="0" collapsed="false">
      <c r="A26" s="2" t="s">
        <v>344</v>
      </c>
      <c r="B26" s="2" t="s">
        <v>345</v>
      </c>
      <c r="C26" s="9" t="s">
        <v>252</v>
      </c>
      <c r="D26" s="2" t="s">
        <v>346</v>
      </c>
      <c r="E26" s="2" t="s">
        <v>267</v>
      </c>
      <c r="F26" s="2" t="s">
        <v>77</v>
      </c>
      <c r="G26" s="2" t="s">
        <v>77</v>
      </c>
      <c r="H26" s="2" t="s">
        <v>347</v>
      </c>
      <c r="I26" s="2" t="s">
        <v>348</v>
      </c>
      <c r="J26" s="2" t="s">
        <v>349</v>
      </c>
      <c r="K26" s="2" t="s">
        <v>81</v>
      </c>
      <c r="L26" s="2" t="s">
        <v>113</v>
      </c>
      <c r="M26" s="2" t="s">
        <v>350</v>
      </c>
      <c r="N26" s="2" t="s">
        <v>351</v>
      </c>
      <c r="O26" s="2" t="s">
        <v>35</v>
      </c>
      <c r="P26" s="2" t="s">
        <v>352</v>
      </c>
      <c r="Q26" s="2" t="s">
        <v>353</v>
      </c>
      <c r="R26" s="2" t="s">
        <v>354</v>
      </c>
      <c r="S26" s="2" t="s">
        <v>355</v>
      </c>
      <c r="T26" s="2" t="s">
        <v>356</v>
      </c>
      <c r="U26" s="2" t="s">
        <v>357</v>
      </c>
      <c r="V26" s="7" t="s">
        <v>358</v>
      </c>
    </row>
    <row r="27" customFormat="false" ht="304.45" hidden="false" customHeight="false" outlineLevel="0" collapsed="false">
      <c r="A27" s="2" t="s">
        <v>359</v>
      </c>
      <c r="B27" s="2" t="s">
        <v>360</v>
      </c>
      <c r="C27" s="9" t="s">
        <v>252</v>
      </c>
      <c r="D27" s="2" t="s">
        <v>361</v>
      </c>
      <c r="E27" s="2" t="s">
        <v>267</v>
      </c>
      <c r="F27" s="4" t="s">
        <v>27</v>
      </c>
      <c r="G27" s="5" t="s">
        <v>27</v>
      </c>
      <c r="H27" s="2" t="s">
        <v>362</v>
      </c>
      <c r="I27" s="2" t="s">
        <v>79</v>
      </c>
      <c r="J27" s="2" t="s">
        <v>363</v>
      </c>
      <c r="K27" s="2" t="s">
        <v>364</v>
      </c>
      <c r="L27" s="2" t="s">
        <v>365</v>
      </c>
      <c r="M27" s="2" t="s">
        <v>366</v>
      </c>
      <c r="N27" s="2" t="s">
        <v>367</v>
      </c>
      <c r="O27" s="2" t="s">
        <v>35</v>
      </c>
      <c r="P27" s="2" t="s">
        <v>368</v>
      </c>
      <c r="Q27" s="2" t="s">
        <v>369</v>
      </c>
      <c r="R27" s="2" t="s">
        <v>370</v>
      </c>
      <c r="S27" s="2" t="s">
        <v>371</v>
      </c>
      <c r="T27" s="2" t="s">
        <v>372</v>
      </c>
      <c r="U27" s="2" t="s">
        <v>373</v>
      </c>
      <c r="V27" s="7" t="s">
        <v>374</v>
      </c>
    </row>
    <row r="28" customFormat="false" ht="74.6" hidden="false" customHeight="false" outlineLevel="0" collapsed="false">
      <c r="A28" s="2" t="s">
        <v>375</v>
      </c>
      <c r="B28" s="2" t="s">
        <v>376</v>
      </c>
      <c r="C28" s="9" t="s">
        <v>252</v>
      </c>
      <c r="D28" s="2" t="s">
        <v>377</v>
      </c>
      <c r="E28" s="2" t="s">
        <v>44</v>
      </c>
      <c r="F28" s="4" t="s">
        <v>27</v>
      </c>
      <c r="G28" s="2" t="s">
        <v>77</v>
      </c>
      <c r="H28" s="2" t="s">
        <v>378</v>
      </c>
      <c r="I28" s="2" t="s">
        <v>348</v>
      </c>
      <c r="J28" s="2" t="s">
        <v>379</v>
      </c>
      <c r="K28" s="2" t="s">
        <v>380</v>
      </c>
      <c r="L28" s="2" t="s">
        <v>256</v>
      </c>
      <c r="M28" s="2" t="s">
        <v>256</v>
      </c>
      <c r="N28" s="2" t="s">
        <v>381</v>
      </c>
      <c r="O28" s="2" t="s">
        <v>96</v>
      </c>
      <c r="P28" s="2" t="s">
        <v>258</v>
      </c>
      <c r="Q28" s="2" t="s">
        <v>382</v>
      </c>
      <c r="R28" s="2" t="s">
        <v>383</v>
      </c>
      <c r="S28" s="2" t="s">
        <v>384</v>
      </c>
      <c r="T28" s="2" t="s">
        <v>385</v>
      </c>
      <c r="U28" s="2"/>
      <c r="V28" s="7" t="s">
        <v>386</v>
      </c>
    </row>
    <row r="29" customFormat="false" ht="116.4" hidden="false" customHeight="false" outlineLevel="0" collapsed="false">
      <c r="A29" s="2" t="s">
        <v>387</v>
      </c>
      <c r="B29" s="2" t="s">
        <v>388</v>
      </c>
      <c r="C29" s="9" t="s">
        <v>252</v>
      </c>
      <c r="D29" s="2" t="s">
        <v>389</v>
      </c>
      <c r="E29" s="2" t="s">
        <v>94</v>
      </c>
      <c r="F29" s="2" t="s">
        <v>77</v>
      </c>
      <c r="G29" s="5" t="s">
        <v>27</v>
      </c>
      <c r="H29" s="2" t="s">
        <v>390</v>
      </c>
      <c r="I29" s="2" t="s">
        <v>79</v>
      </c>
      <c r="J29" s="2" t="s">
        <v>391</v>
      </c>
      <c r="K29" s="2" t="s">
        <v>392</v>
      </c>
      <c r="L29" s="2" t="s">
        <v>256</v>
      </c>
      <c r="M29" s="2" t="s">
        <v>256</v>
      </c>
      <c r="N29" s="2" t="s">
        <v>393</v>
      </c>
      <c r="O29" s="2" t="s">
        <v>96</v>
      </c>
      <c r="P29" s="2" t="s">
        <v>258</v>
      </c>
      <c r="Q29" s="2" t="s">
        <v>394</v>
      </c>
      <c r="R29" s="2" t="s">
        <v>395</v>
      </c>
      <c r="S29" s="2" t="s">
        <v>396</v>
      </c>
      <c r="T29" s="2" t="s">
        <v>397</v>
      </c>
      <c r="U29" s="2"/>
      <c r="V29" s="7" t="s">
        <v>398</v>
      </c>
    </row>
    <row r="30" customFormat="false" ht="126.85" hidden="false" customHeight="false" outlineLevel="0" collapsed="false">
      <c r="A30" s="2" t="s">
        <v>399</v>
      </c>
      <c r="B30" s="2" t="s">
        <v>400</v>
      </c>
      <c r="C30" s="9" t="s">
        <v>252</v>
      </c>
      <c r="D30" s="2" t="s">
        <v>401</v>
      </c>
      <c r="E30" s="2" t="s">
        <v>76</v>
      </c>
      <c r="F30" s="2" t="s">
        <v>77</v>
      </c>
      <c r="G30" s="2" t="s">
        <v>77</v>
      </c>
      <c r="H30" s="2" t="s">
        <v>402</v>
      </c>
      <c r="I30" s="2" t="s">
        <v>348</v>
      </c>
      <c r="J30" s="2" t="s">
        <v>403</v>
      </c>
      <c r="K30" s="2" t="s">
        <v>138</v>
      </c>
      <c r="L30" s="2" t="s">
        <v>148</v>
      </c>
      <c r="M30" s="2" t="s">
        <v>404</v>
      </c>
      <c r="N30" s="2" t="s">
        <v>405</v>
      </c>
      <c r="O30" s="2" t="s">
        <v>35</v>
      </c>
      <c r="P30" s="2" t="s">
        <v>406</v>
      </c>
      <c r="Q30" s="2" t="s">
        <v>407</v>
      </c>
      <c r="R30" s="2" t="s">
        <v>408</v>
      </c>
      <c r="S30" s="2"/>
      <c r="T30" s="2" t="s">
        <v>262</v>
      </c>
      <c r="U30" s="2" t="s">
        <v>409</v>
      </c>
      <c r="V30" s="7" t="s">
        <v>410</v>
      </c>
    </row>
    <row r="31" customFormat="false" ht="397.75" hidden="false" customHeight="false" outlineLevel="0" collapsed="false">
      <c r="A31" s="2" t="s">
        <v>411</v>
      </c>
      <c r="B31" s="2" t="s">
        <v>412</v>
      </c>
      <c r="C31" s="9" t="s">
        <v>252</v>
      </c>
      <c r="D31" s="2" t="s">
        <v>413</v>
      </c>
      <c r="E31" s="2" t="s">
        <v>94</v>
      </c>
      <c r="F31" s="2" t="s">
        <v>77</v>
      </c>
      <c r="G31" s="5" t="s">
        <v>27</v>
      </c>
      <c r="H31" s="2" t="s">
        <v>321</v>
      </c>
      <c r="I31" s="2" t="s">
        <v>79</v>
      </c>
      <c r="J31" s="2" t="s">
        <v>414</v>
      </c>
      <c r="K31" s="2" t="s">
        <v>415</v>
      </c>
      <c r="L31" s="2" t="s">
        <v>416</v>
      </c>
      <c r="M31" s="2" t="s">
        <v>417</v>
      </c>
      <c r="N31" s="2" t="s">
        <v>418</v>
      </c>
      <c r="O31" s="2" t="s">
        <v>35</v>
      </c>
      <c r="P31" s="2" t="s">
        <v>419</v>
      </c>
      <c r="Q31" s="2" t="s">
        <v>420</v>
      </c>
      <c r="R31" s="2" t="s">
        <v>421</v>
      </c>
      <c r="S31" s="2" t="s">
        <v>422</v>
      </c>
      <c r="T31" s="2" t="s">
        <v>423</v>
      </c>
      <c r="U31" s="2" t="s">
        <v>424</v>
      </c>
      <c r="V31" s="7" t="s">
        <v>425</v>
      </c>
    </row>
    <row r="32" customFormat="false" ht="231.3" hidden="false" customHeight="false" outlineLevel="0" collapsed="false">
      <c r="A32" s="2" t="s">
        <v>426</v>
      </c>
      <c r="B32" s="2" t="s">
        <v>427</v>
      </c>
      <c r="C32" s="9" t="s">
        <v>252</v>
      </c>
      <c r="D32" s="2" t="s">
        <v>428</v>
      </c>
      <c r="E32" s="2" t="s">
        <v>267</v>
      </c>
      <c r="F32" s="2" t="s">
        <v>77</v>
      </c>
      <c r="G32" s="2" t="s">
        <v>77</v>
      </c>
      <c r="H32" s="2" t="s">
        <v>429</v>
      </c>
      <c r="I32" s="2" t="s">
        <v>96</v>
      </c>
      <c r="J32" s="2" t="s">
        <v>430</v>
      </c>
      <c r="K32" s="2" t="s">
        <v>431</v>
      </c>
      <c r="L32" s="2" t="s">
        <v>432</v>
      </c>
      <c r="M32" s="2" t="s">
        <v>433</v>
      </c>
      <c r="N32" s="2" t="s">
        <v>434</v>
      </c>
      <c r="O32" s="2" t="s">
        <v>35</v>
      </c>
      <c r="P32" s="2" t="s">
        <v>435</v>
      </c>
      <c r="Q32" s="2" t="s">
        <v>436</v>
      </c>
      <c r="R32" s="2" t="s">
        <v>437</v>
      </c>
      <c r="S32" s="2" t="s">
        <v>438</v>
      </c>
      <c r="T32" s="2" t="s">
        <v>439</v>
      </c>
      <c r="U32" s="2" t="s">
        <v>440</v>
      </c>
      <c r="V32" s="7" t="s">
        <v>441</v>
      </c>
    </row>
    <row r="33" customFormat="false" ht="85.05" hidden="false" customHeight="false" outlineLevel="0" collapsed="false">
      <c r="A33" s="2" t="s">
        <v>442</v>
      </c>
      <c r="B33" s="2" t="s">
        <v>443</v>
      </c>
      <c r="C33" s="9" t="s">
        <v>252</v>
      </c>
      <c r="D33" s="2" t="s">
        <v>444</v>
      </c>
      <c r="E33" s="2" t="s">
        <v>296</v>
      </c>
      <c r="F33" s="2" t="s">
        <v>77</v>
      </c>
      <c r="G33" s="2" t="s">
        <v>77</v>
      </c>
      <c r="H33" s="2" t="s">
        <v>445</v>
      </c>
      <c r="I33" s="2" t="s">
        <v>348</v>
      </c>
      <c r="J33" s="2" t="s">
        <v>446</v>
      </c>
      <c r="K33" s="2" t="s">
        <v>138</v>
      </c>
      <c r="L33" s="2" t="s">
        <v>148</v>
      </c>
      <c r="M33" s="2" t="s">
        <v>447</v>
      </c>
      <c r="N33" s="2" t="s">
        <v>448</v>
      </c>
      <c r="O33" s="2" t="s">
        <v>35</v>
      </c>
      <c r="P33" s="2" t="s">
        <v>449</v>
      </c>
      <c r="Q33" s="2" t="s">
        <v>450</v>
      </c>
      <c r="R33" s="2" t="s">
        <v>451</v>
      </c>
      <c r="S33" s="2" t="s">
        <v>452</v>
      </c>
      <c r="T33" s="2"/>
      <c r="U33" s="2" t="s">
        <v>145</v>
      </c>
      <c r="V33" s="7" t="s">
        <v>453</v>
      </c>
    </row>
    <row r="34" customFormat="false" ht="64.15" hidden="false" customHeight="false" outlineLevel="0" collapsed="false">
      <c r="A34" s="2" t="s">
        <v>454</v>
      </c>
      <c r="B34" s="2" t="s">
        <v>455</v>
      </c>
      <c r="C34" s="9" t="s">
        <v>252</v>
      </c>
      <c r="D34" s="2" t="s">
        <v>456</v>
      </c>
      <c r="E34" s="2" t="s">
        <v>44</v>
      </c>
      <c r="F34" s="4" t="s">
        <v>27</v>
      </c>
      <c r="G34" s="2" t="s">
        <v>77</v>
      </c>
      <c r="H34" s="2" t="s">
        <v>310</v>
      </c>
      <c r="I34" s="2" t="s">
        <v>96</v>
      </c>
      <c r="J34" s="2" t="s">
        <v>457</v>
      </c>
      <c r="K34" s="2" t="s">
        <v>458</v>
      </c>
      <c r="L34" s="2" t="s">
        <v>148</v>
      </c>
      <c r="M34" s="2" t="s">
        <v>182</v>
      </c>
      <c r="N34" s="2" t="s">
        <v>459</v>
      </c>
      <c r="O34" s="2" t="s">
        <v>96</v>
      </c>
      <c r="P34" s="2" t="s">
        <v>460</v>
      </c>
      <c r="Q34" s="2" t="s">
        <v>461</v>
      </c>
      <c r="R34" s="2" t="s">
        <v>462</v>
      </c>
      <c r="S34" s="2"/>
      <c r="T34" s="2"/>
      <c r="U34" s="2" t="s">
        <v>463</v>
      </c>
      <c r="V34" s="7" t="s">
        <v>464</v>
      </c>
    </row>
    <row r="35" customFormat="false" ht="147.75" hidden="false" customHeight="false" outlineLevel="0" collapsed="false">
      <c r="A35" s="2" t="s">
        <v>465</v>
      </c>
      <c r="B35" s="2" t="s">
        <v>466</v>
      </c>
      <c r="C35" s="9" t="s">
        <v>252</v>
      </c>
      <c r="D35" s="2" t="s">
        <v>467</v>
      </c>
      <c r="E35" s="2" t="s">
        <v>296</v>
      </c>
      <c r="F35" s="2" t="s">
        <v>77</v>
      </c>
      <c r="G35" s="2" t="s">
        <v>77</v>
      </c>
      <c r="H35" s="2" t="s">
        <v>445</v>
      </c>
      <c r="I35" s="2" t="s">
        <v>348</v>
      </c>
      <c r="J35" s="2" t="s">
        <v>468</v>
      </c>
      <c r="K35" s="2" t="s">
        <v>469</v>
      </c>
      <c r="L35" s="2" t="s">
        <v>148</v>
      </c>
      <c r="M35" s="2" t="s">
        <v>470</v>
      </c>
      <c r="N35" s="2" t="s">
        <v>471</v>
      </c>
      <c r="O35" s="2" t="s">
        <v>35</v>
      </c>
      <c r="P35" s="2" t="s">
        <v>472</v>
      </c>
      <c r="Q35" s="2" t="s">
        <v>473</v>
      </c>
      <c r="R35" s="2" t="s">
        <v>474</v>
      </c>
      <c r="S35" s="2" t="s">
        <v>475</v>
      </c>
      <c r="T35" s="2" t="s">
        <v>476</v>
      </c>
      <c r="U35" s="2" t="s">
        <v>477</v>
      </c>
      <c r="V35" s="7" t="s">
        <v>478</v>
      </c>
    </row>
    <row r="36" customFormat="false" ht="64.15" hidden="false" customHeight="false" outlineLevel="0" collapsed="false">
      <c r="A36" s="2" t="s">
        <v>479</v>
      </c>
      <c r="B36" s="2" t="s">
        <v>480</v>
      </c>
      <c r="C36" s="9" t="s">
        <v>252</v>
      </c>
      <c r="D36" s="2" t="s">
        <v>481</v>
      </c>
      <c r="E36" s="2" t="s">
        <v>44</v>
      </c>
      <c r="F36" s="2" t="s">
        <v>77</v>
      </c>
      <c r="G36" s="2" t="s">
        <v>77</v>
      </c>
      <c r="H36" s="2"/>
      <c r="I36" s="2" t="s">
        <v>96</v>
      </c>
      <c r="J36" s="2" t="s">
        <v>96</v>
      </c>
      <c r="K36" s="2" t="s">
        <v>380</v>
      </c>
      <c r="L36" s="2" t="s">
        <v>256</v>
      </c>
      <c r="M36" s="2" t="s">
        <v>256</v>
      </c>
      <c r="N36" s="2" t="s">
        <v>312</v>
      </c>
      <c r="O36" s="2" t="s">
        <v>96</v>
      </c>
      <c r="P36" s="2" t="s">
        <v>258</v>
      </c>
      <c r="Q36" s="2" t="s">
        <v>482</v>
      </c>
      <c r="R36" s="2" t="s">
        <v>483</v>
      </c>
      <c r="S36" s="2" t="s">
        <v>484</v>
      </c>
      <c r="T36" s="2" t="s">
        <v>485</v>
      </c>
      <c r="U36" s="2"/>
      <c r="V36" s="7" t="s">
        <v>486</v>
      </c>
    </row>
    <row r="37" customFormat="false" ht="147.75" hidden="false" customHeight="false" outlineLevel="0" collapsed="false">
      <c r="A37" s="2" t="s">
        <v>487</v>
      </c>
      <c r="B37" s="2" t="s">
        <v>488</v>
      </c>
      <c r="C37" s="9" t="s">
        <v>252</v>
      </c>
      <c r="D37" s="2" t="s">
        <v>489</v>
      </c>
      <c r="E37" s="2" t="s">
        <v>490</v>
      </c>
      <c r="F37" s="2" t="s">
        <v>77</v>
      </c>
      <c r="G37" s="2" t="s">
        <v>77</v>
      </c>
      <c r="H37" s="2" t="s">
        <v>491</v>
      </c>
      <c r="I37" s="2" t="s">
        <v>492</v>
      </c>
      <c r="J37" s="2" t="s">
        <v>493</v>
      </c>
      <c r="K37" s="2" t="s">
        <v>494</v>
      </c>
      <c r="L37" s="2" t="s">
        <v>495</v>
      </c>
      <c r="M37" s="2" t="s">
        <v>496</v>
      </c>
      <c r="N37" s="2" t="s">
        <v>497</v>
      </c>
      <c r="O37" s="2" t="s">
        <v>35</v>
      </c>
      <c r="P37" s="2" t="s">
        <v>498</v>
      </c>
      <c r="Q37" s="2" t="s">
        <v>499</v>
      </c>
      <c r="R37" s="2" t="s">
        <v>500</v>
      </c>
      <c r="S37" s="2" t="s">
        <v>501</v>
      </c>
      <c r="T37" s="2" t="s">
        <v>502</v>
      </c>
      <c r="U37" s="2" t="s">
        <v>503</v>
      </c>
      <c r="V37" s="7" t="s">
        <v>504</v>
      </c>
    </row>
    <row r="38" customFormat="false" ht="105.95" hidden="false" customHeight="false" outlineLevel="0" collapsed="false">
      <c r="A38" s="2" t="s">
        <v>505</v>
      </c>
      <c r="B38" s="2" t="s">
        <v>506</v>
      </c>
      <c r="C38" s="9" t="s">
        <v>252</v>
      </c>
      <c r="D38" s="2" t="s">
        <v>507</v>
      </c>
      <c r="E38" s="2" t="s">
        <v>94</v>
      </c>
      <c r="F38" s="2" t="s">
        <v>77</v>
      </c>
      <c r="G38" s="2" t="s">
        <v>77</v>
      </c>
      <c r="H38" s="2" t="s">
        <v>95</v>
      </c>
      <c r="I38" s="2" t="s">
        <v>96</v>
      </c>
      <c r="J38" s="2" t="s">
        <v>96</v>
      </c>
      <c r="K38" s="2" t="s">
        <v>508</v>
      </c>
      <c r="L38" s="2" t="s">
        <v>256</v>
      </c>
      <c r="M38" s="2" t="s">
        <v>256</v>
      </c>
      <c r="N38" s="2" t="s">
        <v>509</v>
      </c>
      <c r="O38" s="2" t="s">
        <v>96</v>
      </c>
      <c r="P38" s="2" t="s">
        <v>258</v>
      </c>
      <c r="Q38" s="2" t="s">
        <v>510</v>
      </c>
      <c r="R38" s="2" t="s">
        <v>511</v>
      </c>
      <c r="S38" s="2" t="s">
        <v>512</v>
      </c>
      <c r="T38" s="2" t="s">
        <v>513</v>
      </c>
      <c r="U38" s="2"/>
      <c r="V38" s="7" t="s">
        <v>514</v>
      </c>
    </row>
    <row r="39" customFormat="false" ht="64.15" hidden="false" customHeight="false" outlineLevel="0" collapsed="false">
      <c r="A39" s="2" t="s">
        <v>515</v>
      </c>
      <c r="B39" s="2" t="s">
        <v>516</v>
      </c>
      <c r="C39" s="9" t="s">
        <v>252</v>
      </c>
      <c r="D39" s="2" t="s">
        <v>517</v>
      </c>
      <c r="E39" s="2" t="s">
        <v>44</v>
      </c>
      <c r="F39" s="4" t="s">
        <v>27</v>
      </c>
      <c r="G39" s="2" t="s">
        <v>77</v>
      </c>
      <c r="H39" s="2" t="s">
        <v>518</v>
      </c>
      <c r="I39" s="2" t="s">
        <v>492</v>
      </c>
      <c r="J39" s="2" t="s">
        <v>519</v>
      </c>
      <c r="K39" s="2" t="s">
        <v>380</v>
      </c>
      <c r="L39" s="2" t="s">
        <v>256</v>
      </c>
      <c r="M39" s="2" t="s">
        <v>256</v>
      </c>
      <c r="N39" s="2" t="s">
        <v>520</v>
      </c>
      <c r="O39" s="2" t="s">
        <v>96</v>
      </c>
      <c r="P39" s="2" t="s">
        <v>258</v>
      </c>
      <c r="Q39" s="2" t="s">
        <v>521</v>
      </c>
      <c r="R39" s="2" t="s">
        <v>522</v>
      </c>
      <c r="S39" s="2" t="s">
        <v>523</v>
      </c>
      <c r="T39" s="2" t="s">
        <v>524</v>
      </c>
      <c r="U39" s="2"/>
      <c r="V39" s="7" t="s">
        <v>525</v>
      </c>
    </row>
    <row r="40" customFormat="false" ht="85.05" hidden="false" customHeight="false" outlineLevel="0" collapsed="false">
      <c r="A40" s="2" t="s">
        <v>526</v>
      </c>
      <c r="B40" s="2" t="s">
        <v>527</v>
      </c>
      <c r="C40" s="9" t="s">
        <v>252</v>
      </c>
      <c r="D40" s="2" t="s">
        <v>528</v>
      </c>
      <c r="E40" s="2" t="s">
        <v>529</v>
      </c>
      <c r="F40" s="2" t="s">
        <v>77</v>
      </c>
      <c r="G40" s="2" t="s">
        <v>77</v>
      </c>
      <c r="H40" s="2" t="s">
        <v>297</v>
      </c>
      <c r="I40" s="2" t="s">
        <v>348</v>
      </c>
      <c r="J40" s="2" t="s">
        <v>530</v>
      </c>
      <c r="K40" s="2" t="s">
        <v>81</v>
      </c>
      <c r="L40" s="2" t="s">
        <v>113</v>
      </c>
      <c r="M40" s="2" t="s">
        <v>531</v>
      </c>
      <c r="N40" s="2" t="s">
        <v>532</v>
      </c>
      <c r="O40" s="2" t="s">
        <v>35</v>
      </c>
      <c r="P40" s="2" t="s">
        <v>533</v>
      </c>
      <c r="Q40" s="2" t="s">
        <v>534</v>
      </c>
      <c r="R40" s="2" t="s">
        <v>535</v>
      </c>
      <c r="S40" s="2" t="s">
        <v>536</v>
      </c>
      <c r="T40" s="2"/>
      <c r="U40" s="2" t="s">
        <v>537</v>
      </c>
      <c r="V40" s="7" t="s">
        <v>538</v>
      </c>
    </row>
    <row r="41" customFormat="false" ht="85.05" hidden="false" customHeight="false" outlineLevel="0" collapsed="false">
      <c r="A41" s="2" t="s">
        <v>539</v>
      </c>
      <c r="B41" s="2" t="s">
        <v>540</v>
      </c>
      <c r="C41" s="9" t="s">
        <v>252</v>
      </c>
      <c r="D41" s="2" t="s">
        <v>541</v>
      </c>
      <c r="E41" s="2" t="s">
        <v>490</v>
      </c>
      <c r="F41" s="2" t="s">
        <v>77</v>
      </c>
      <c r="G41" s="2" t="s">
        <v>77</v>
      </c>
      <c r="H41" s="2" t="s">
        <v>491</v>
      </c>
      <c r="I41" s="2" t="s">
        <v>96</v>
      </c>
      <c r="J41" s="2" t="s">
        <v>542</v>
      </c>
      <c r="K41" s="2" t="s">
        <v>255</v>
      </c>
      <c r="L41" s="2" t="s">
        <v>256</v>
      </c>
      <c r="M41" s="2" t="s">
        <v>543</v>
      </c>
      <c r="N41" s="2" t="s">
        <v>544</v>
      </c>
      <c r="O41" s="2" t="s">
        <v>96</v>
      </c>
      <c r="P41" s="2" t="s">
        <v>258</v>
      </c>
      <c r="Q41" s="2" t="s">
        <v>545</v>
      </c>
      <c r="R41" s="2" t="s">
        <v>546</v>
      </c>
      <c r="S41" s="2" t="s">
        <v>547</v>
      </c>
      <c r="T41" s="2" t="s">
        <v>356</v>
      </c>
      <c r="U41" s="2"/>
      <c r="V41" s="7" t="s">
        <v>548</v>
      </c>
    </row>
    <row r="42" customFormat="false" ht="126.85" hidden="false" customHeight="false" outlineLevel="0" collapsed="false">
      <c r="A42" s="2" t="s">
        <v>549</v>
      </c>
      <c r="B42" s="2" t="s">
        <v>550</v>
      </c>
      <c r="C42" s="9" t="s">
        <v>252</v>
      </c>
      <c r="D42" s="2" t="s">
        <v>551</v>
      </c>
      <c r="E42" s="2" t="s">
        <v>94</v>
      </c>
      <c r="F42" s="2" t="s">
        <v>77</v>
      </c>
      <c r="G42" s="2" t="s">
        <v>77</v>
      </c>
      <c r="H42" s="2" t="s">
        <v>95</v>
      </c>
      <c r="I42" s="2" t="s">
        <v>96</v>
      </c>
      <c r="J42" s="2" t="s">
        <v>96</v>
      </c>
      <c r="K42" s="2" t="s">
        <v>552</v>
      </c>
      <c r="L42" s="2" t="s">
        <v>553</v>
      </c>
      <c r="M42" s="2" t="s">
        <v>114</v>
      </c>
      <c r="N42" s="2" t="s">
        <v>554</v>
      </c>
      <c r="O42" s="2" t="s">
        <v>96</v>
      </c>
      <c r="P42" s="2" t="s">
        <v>555</v>
      </c>
      <c r="Q42" s="2" t="s">
        <v>556</v>
      </c>
      <c r="R42" s="2" t="s">
        <v>557</v>
      </c>
      <c r="S42" s="2" t="s">
        <v>558</v>
      </c>
      <c r="T42" s="2" t="s">
        <v>559</v>
      </c>
      <c r="U42" s="2" t="s">
        <v>560</v>
      </c>
      <c r="V42" s="7" t="s">
        <v>561</v>
      </c>
    </row>
    <row r="43" customFormat="false" ht="147.75" hidden="false" customHeight="false" outlineLevel="0" collapsed="false">
      <c r="A43" s="2" t="s">
        <v>562</v>
      </c>
      <c r="B43" s="2" t="s">
        <v>563</v>
      </c>
      <c r="C43" s="9" t="s">
        <v>252</v>
      </c>
      <c r="D43" s="2" t="s">
        <v>564</v>
      </c>
      <c r="E43" s="2" t="s">
        <v>44</v>
      </c>
      <c r="F43" s="4" t="s">
        <v>27</v>
      </c>
      <c r="G43" s="2" t="s">
        <v>77</v>
      </c>
      <c r="H43" s="2" t="s">
        <v>565</v>
      </c>
      <c r="I43" s="2" t="s">
        <v>96</v>
      </c>
      <c r="J43" s="2" t="s">
        <v>96</v>
      </c>
      <c r="K43" s="2" t="s">
        <v>566</v>
      </c>
      <c r="L43" s="2" t="s">
        <v>256</v>
      </c>
      <c r="M43" s="2" t="s">
        <v>256</v>
      </c>
      <c r="N43" s="2" t="s">
        <v>567</v>
      </c>
      <c r="O43" s="2" t="s">
        <v>96</v>
      </c>
      <c r="P43" s="2" t="s">
        <v>568</v>
      </c>
      <c r="Q43" s="2" t="s">
        <v>569</v>
      </c>
      <c r="R43" s="2" t="s">
        <v>570</v>
      </c>
      <c r="S43" s="2" t="s">
        <v>571</v>
      </c>
      <c r="T43" s="2" t="s">
        <v>572</v>
      </c>
      <c r="U43" s="2"/>
      <c r="V43" s="7" t="s">
        <v>573</v>
      </c>
    </row>
    <row r="44" customFormat="false" ht="105.95" hidden="false" customHeight="false" outlineLevel="0" collapsed="false">
      <c r="A44" s="2" t="s">
        <v>574</v>
      </c>
      <c r="B44" s="2" t="s">
        <v>575</v>
      </c>
      <c r="C44" s="9" t="s">
        <v>252</v>
      </c>
      <c r="D44" s="2" t="s">
        <v>576</v>
      </c>
      <c r="E44" s="2" t="s">
        <v>210</v>
      </c>
      <c r="F44" s="4" t="s">
        <v>27</v>
      </c>
      <c r="G44" s="2" t="s">
        <v>77</v>
      </c>
      <c r="H44" s="2" t="s">
        <v>577</v>
      </c>
      <c r="I44" s="2" t="s">
        <v>96</v>
      </c>
      <c r="J44" s="2" t="s">
        <v>578</v>
      </c>
      <c r="K44" s="2" t="s">
        <v>579</v>
      </c>
      <c r="L44" s="2" t="s">
        <v>256</v>
      </c>
      <c r="M44" s="2" t="s">
        <v>256</v>
      </c>
      <c r="N44" s="2" t="s">
        <v>580</v>
      </c>
      <c r="O44" s="2" t="s">
        <v>96</v>
      </c>
      <c r="P44" s="2" t="s">
        <v>568</v>
      </c>
      <c r="Q44" s="2" t="s">
        <v>581</v>
      </c>
      <c r="R44" s="2" t="s">
        <v>582</v>
      </c>
      <c r="S44" s="2" t="s">
        <v>583</v>
      </c>
      <c r="T44" s="2" t="s">
        <v>584</v>
      </c>
      <c r="U44" s="2"/>
      <c r="V44" s="7" t="s">
        <v>585</v>
      </c>
    </row>
    <row r="45" customFormat="false" ht="95.5" hidden="false" customHeight="false" outlineLevel="0" collapsed="false">
      <c r="A45" s="2" t="s">
        <v>586</v>
      </c>
      <c r="B45" s="2" t="s">
        <v>587</v>
      </c>
      <c r="C45" s="9" t="s">
        <v>252</v>
      </c>
      <c r="D45" s="2" t="s">
        <v>588</v>
      </c>
      <c r="E45" s="2" t="s">
        <v>210</v>
      </c>
      <c r="F45" s="4" t="s">
        <v>27</v>
      </c>
      <c r="G45" s="2" t="s">
        <v>77</v>
      </c>
      <c r="H45" s="2" t="s">
        <v>225</v>
      </c>
      <c r="I45" s="2" t="s">
        <v>96</v>
      </c>
      <c r="J45" s="2" t="s">
        <v>589</v>
      </c>
      <c r="K45" s="2" t="s">
        <v>81</v>
      </c>
      <c r="L45" s="2" t="s">
        <v>256</v>
      </c>
      <c r="M45" s="2" t="s">
        <v>256</v>
      </c>
      <c r="N45" s="2" t="s">
        <v>580</v>
      </c>
      <c r="O45" s="2" t="s">
        <v>96</v>
      </c>
      <c r="P45" s="2" t="s">
        <v>568</v>
      </c>
      <c r="Q45" s="2" t="s">
        <v>590</v>
      </c>
      <c r="R45" s="2" t="s">
        <v>591</v>
      </c>
      <c r="S45" s="2" t="s">
        <v>592</v>
      </c>
      <c r="T45" s="2" t="s">
        <v>584</v>
      </c>
      <c r="U45" s="2"/>
      <c r="V45" s="7" t="s">
        <v>593</v>
      </c>
    </row>
    <row r="46" customFormat="false" ht="95.5" hidden="false" customHeight="false" outlineLevel="0" collapsed="false">
      <c r="A46" s="2" t="s">
        <v>594</v>
      </c>
      <c r="B46" s="2" t="s">
        <v>595</v>
      </c>
      <c r="C46" s="9" t="s">
        <v>252</v>
      </c>
      <c r="D46" s="2" t="s">
        <v>596</v>
      </c>
      <c r="E46" s="2" t="s">
        <v>210</v>
      </c>
      <c r="F46" s="4" t="s">
        <v>27</v>
      </c>
      <c r="G46" s="2" t="s">
        <v>77</v>
      </c>
      <c r="H46" s="2" t="s">
        <v>577</v>
      </c>
      <c r="I46" s="2" t="s">
        <v>96</v>
      </c>
      <c r="J46" s="2" t="s">
        <v>597</v>
      </c>
      <c r="K46" s="2" t="s">
        <v>81</v>
      </c>
      <c r="L46" s="2" t="s">
        <v>256</v>
      </c>
      <c r="M46" s="2" t="s">
        <v>256</v>
      </c>
      <c r="N46" s="2" t="s">
        <v>580</v>
      </c>
      <c r="O46" s="2" t="s">
        <v>96</v>
      </c>
      <c r="P46" s="2" t="s">
        <v>598</v>
      </c>
      <c r="Q46" s="2" t="s">
        <v>599</v>
      </c>
      <c r="R46" s="2" t="s">
        <v>600</v>
      </c>
      <c r="S46" s="2" t="s">
        <v>601</v>
      </c>
      <c r="T46" s="2" t="s">
        <v>584</v>
      </c>
      <c r="U46" s="2"/>
      <c r="V46" s="7" t="s">
        <v>602</v>
      </c>
    </row>
    <row r="47" customFormat="false" ht="85.05" hidden="false" customHeight="false" outlineLevel="0" collapsed="false">
      <c r="A47" s="2" t="s">
        <v>603</v>
      </c>
      <c r="B47" s="2" t="s">
        <v>604</v>
      </c>
      <c r="C47" s="9" t="s">
        <v>252</v>
      </c>
      <c r="D47" s="2" t="s">
        <v>605</v>
      </c>
      <c r="E47" s="2" t="s">
        <v>94</v>
      </c>
      <c r="F47" s="2" t="s">
        <v>77</v>
      </c>
      <c r="G47" s="5" t="s">
        <v>27</v>
      </c>
      <c r="H47" s="2" t="s">
        <v>95</v>
      </c>
      <c r="I47" s="2" t="s">
        <v>96</v>
      </c>
      <c r="J47" s="2" t="s">
        <v>96</v>
      </c>
      <c r="K47" s="2" t="s">
        <v>606</v>
      </c>
      <c r="L47" s="2" t="s">
        <v>553</v>
      </c>
      <c r="M47" s="2" t="s">
        <v>114</v>
      </c>
      <c r="N47" s="2" t="s">
        <v>607</v>
      </c>
      <c r="O47" s="2" t="s">
        <v>96</v>
      </c>
      <c r="P47" s="2" t="s">
        <v>608</v>
      </c>
      <c r="Q47" s="2" t="s">
        <v>609</v>
      </c>
      <c r="R47" s="2" t="s">
        <v>610</v>
      </c>
      <c r="S47" s="2" t="s">
        <v>611</v>
      </c>
      <c r="T47" s="2" t="s">
        <v>559</v>
      </c>
      <c r="U47" s="2"/>
      <c r="V47" s="7" t="s">
        <v>612</v>
      </c>
    </row>
    <row r="48" customFormat="false" ht="64.15" hidden="false" customHeight="false" outlineLevel="0" collapsed="false">
      <c r="A48" s="2" t="s">
        <v>613</v>
      </c>
      <c r="B48" s="2" t="s">
        <v>614</v>
      </c>
      <c r="C48" s="10" t="s">
        <v>615</v>
      </c>
      <c r="D48" s="2" t="s">
        <v>616</v>
      </c>
      <c r="E48" s="2" t="s">
        <v>529</v>
      </c>
      <c r="F48" s="2" t="s">
        <v>77</v>
      </c>
      <c r="G48" s="2" t="s">
        <v>77</v>
      </c>
      <c r="H48" s="2"/>
      <c r="I48" s="2" t="s">
        <v>96</v>
      </c>
      <c r="J48" s="2" t="s">
        <v>617</v>
      </c>
      <c r="K48" s="2" t="s">
        <v>618</v>
      </c>
      <c r="L48" s="2" t="s">
        <v>256</v>
      </c>
      <c r="M48" s="2" t="s">
        <v>256</v>
      </c>
      <c r="N48" s="2" t="s">
        <v>619</v>
      </c>
      <c r="O48" s="2" t="s">
        <v>96</v>
      </c>
      <c r="P48" s="2" t="s">
        <v>258</v>
      </c>
      <c r="Q48" s="2" t="s">
        <v>620</v>
      </c>
      <c r="R48" s="2" t="s">
        <v>621</v>
      </c>
      <c r="S48" s="2" t="s">
        <v>622</v>
      </c>
      <c r="T48" s="2" t="s">
        <v>623</v>
      </c>
      <c r="U48" s="2"/>
      <c r="V48" s="7" t="s">
        <v>624</v>
      </c>
    </row>
    <row r="49" customFormat="false" ht="95.5" hidden="false" customHeight="false" outlineLevel="0" collapsed="false">
      <c r="A49" s="2" t="s">
        <v>625</v>
      </c>
      <c r="B49" s="2" t="s">
        <v>626</v>
      </c>
      <c r="C49" s="10" t="s">
        <v>615</v>
      </c>
      <c r="D49" s="2" t="s">
        <v>627</v>
      </c>
      <c r="E49" s="2" t="s">
        <v>529</v>
      </c>
      <c r="F49" s="2" t="s">
        <v>77</v>
      </c>
      <c r="G49" s="2" t="s">
        <v>77</v>
      </c>
      <c r="H49" s="2"/>
      <c r="I49" s="2" t="s">
        <v>96</v>
      </c>
      <c r="J49" s="2" t="s">
        <v>617</v>
      </c>
      <c r="K49" s="2" t="s">
        <v>618</v>
      </c>
      <c r="L49" s="2" t="s">
        <v>256</v>
      </c>
      <c r="M49" s="2" t="s">
        <v>256</v>
      </c>
      <c r="N49" s="2" t="s">
        <v>619</v>
      </c>
      <c r="O49" s="2" t="s">
        <v>96</v>
      </c>
      <c r="P49" s="2" t="s">
        <v>258</v>
      </c>
      <c r="Q49" s="2" t="s">
        <v>628</v>
      </c>
      <c r="R49" s="2" t="s">
        <v>629</v>
      </c>
      <c r="S49" s="2" t="s">
        <v>630</v>
      </c>
      <c r="T49" s="2" t="s">
        <v>631</v>
      </c>
      <c r="U49" s="2"/>
      <c r="V49" s="7" t="s">
        <v>632</v>
      </c>
    </row>
    <row r="50" customFormat="false" ht="43.25" hidden="false" customHeight="false" outlineLevel="0" collapsed="false">
      <c r="A50" s="2" t="s">
        <v>633</v>
      </c>
      <c r="B50" s="2" t="s">
        <v>634</v>
      </c>
      <c r="C50" s="10" t="s">
        <v>615</v>
      </c>
      <c r="D50" s="2" t="s">
        <v>635</v>
      </c>
      <c r="E50" s="2" t="s">
        <v>529</v>
      </c>
      <c r="F50" s="2" t="s">
        <v>77</v>
      </c>
      <c r="G50" s="2" t="s">
        <v>77</v>
      </c>
      <c r="H50" s="2"/>
      <c r="I50" s="2" t="s">
        <v>96</v>
      </c>
      <c r="J50" s="2" t="s">
        <v>617</v>
      </c>
      <c r="K50" s="2" t="s">
        <v>618</v>
      </c>
      <c r="L50" s="2" t="s">
        <v>256</v>
      </c>
      <c r="M50" s="2" t="s">
        <v>256</v>
      </c>
      <c r="N50" s="2" t="s">
        <v>636</v>
      </c>
      <c r="O50" s="2" t="s">
        <v>96</v>
      </c>
      <c r="P50" s="2" t="s">
        <v>258</v>
      </c>
      <c r="Q50" s="2" t="s">
        <v>637</v>
      </c>
      <c r="R50" s="2" t="s">
        <v>638</v>
      </c>
      <c r="S50" s="2" t="s">
        <v>639</v>
      </c>
      <c r="T50" s="2" t="s">
        <v>262</v>
      </c>
      <c r="U50" s="2"/>
      <c r="V50" s="7" t="s">
        <v>632</v>
      </c>
    </row>
    <row r="51" customFormat="false" ht="231.3" hidden="false" customHeight="false" outlineLevel="0" collapsed="false">
      <c r="A51" s="2" t="s">
        <v>640</v>
      </c>
      <c r="B51" s="2" t="s">
        <v>641</v>
      </c>
      <c r="C51" s="10" t="s">
        <v>615</v>
      </c>
      <c r="D51" s="2" t="s">
        <v>642</v>
      </c>
      <c r="E51" s="2" t="s">
        <v>296</v>
      </c>
      <c r="F51" s="2" t="s">
        <v>77</v>
      </c>
      <c r="G51" s="2" t="s">
        <v>77</v>
      </c>
      <c r="H51" s="2" t="s">
        <v>297</v>
      </c>
      <c r="I51" s="2" t="s">
        <v>348</v>
      </c>
      <c r="J51" s="2" t="s">
        <v>643</v>
      </c>
      <c r="K51" s="2" t="s">
        <v>81</v>
      </c>
      <c r="L51" s="2" t="s">
        <v>113</v>
      </c>
      <c r="M51" s="2" t="s">
        <v>644</v>
      </c>
      <c r="N51" s="2" t="s">
        <v>645</v>
      </c>
      <c r="O51" s="2" t="s">
        <v>35</v>
      </c>
      <c r="P51" s="2" t="s">
        <v>646</v>
      </c>
      <c r="Q51" s="2" t="s">
        <v>647</v>
      </c>
      <c r="R51" s="2" t="s">
        <v>648</v>
      </c>
      <c r="S51" s="2" t="s">
        <v>649</v>
      </c>
      <c r="T51" s="2" t="s">
        <v>650</v>
      </c>
      <c r="U51" s="2" t="s">
        <v>651</v>
      </c>
      <c r="V51" s="7" t="s">
        <v>652</v>
      </c>
    </row>
    <row r="52" customFormat="false" ht="64.15" hidden="false" customHeight="false" outlineLevel="0" collapsed="false">
      <c r="A52" s="2" t="s">
        <v>653</v>
      </c>
      <c r="B52" s="2" t="s">
        <v>654</v>
      </c>
      <c r="C52" s="10" t="s">
        <v>615</v>
      </c>
      <c r="D52" s="2" t="s">
        <v>655</v>
      </c>
      <c r="E52" s="2" t="s">
        <v>296</v>
      </c>
      <c r="F52" s="2" t="s">
        <v>77</v>
      </c>
      <c r="G52" s="2" t="s">
        <v>77</v>
      </c>
      <c r="H52" s="2" t="s">
        <v>656</v>
      </c>
      <c r="I52" s="2" t="s">
        <v>657</v>
      </c>
      <c r="J52" s="2" t="s">
        <v>658</v>
      </c>
      <c r="K52" s="2" t="s">
        <v>618</v>
      </c>
      <c r="L52" s="2" t="s">
        <v>256</v>
      </c>
      <c r="M52" s="2" t="s">
        <v>256</v>
      </c>
      <c r="N52" s="2" t="s">
        <v>619</v>
      </c>
      <c r="O52" s="2" t="s">
        <v>96</v>
      </c>
      <c r="P52" s="2" t="s">
        <v>258</v>
      </c>
      <c r="Q52" s="2" t="s">
        <v>659</v>
      </c>
      <c r="R52" s="2" t="s">
        <v>660</v>
      </c>
      <c r="S52" s="2" t="s">
        <v>661</v>
      </c>
      <c r="T52" s="2" t="s">
        <v>662</v>
      </c>
      <c r="U52" s="2"/>
      <c r="V52" s="7" t="s">
        <v>632</v>
      </c>
    </row>
    <row r="53" customFormat="false" ht="158.2" hidden="false" customHeight="false" outlineLevel="0" collapsed="false">
      <c r="A53" s="2" t="s">
        <v>663</v>
      </c>
      <c r="B53" s="2" t="s">
        <v>664</v>
      </c>
      <c r="C53" s="10" t="s">
        <v>615</v>
      </c>
      <c r="D53" s="2" t="s">
        <v>665</v>
      </c>
      <c r="E53" s="2" t="s">
        <v>296</v>
      </c>
      <c r="F53" s="2" t="s">
        <v>77</v>
      </c>
      <c r="G53" s="2" t="s">
        <v>77</v>
      </c>
      <c r="H53" s="2" t="s">
        <v>666</v>
      </c>
      <c r="I53" s="2" t="s">
        <v>96</v>
      </c>
      <c r="J53" s="2" t="s">
        <v>667</v>
      </c>
      <c r="K53" s="2" t="s">
        <v>81</v>
      </c>
      <c r="L53" s="2" t="s">
        <v>668</v>
      </c>
      <c r="M53" s="2" t="s">
        <v>669</v>
      </c>
      <c r="N53" s="2" t="s">
        <v>670</v>
      </c>
      <c r="O53" s="2" t="s">
        <v>35</v>
      </c>
      <c r="P53" s="2" t="s">
        <v>671</v>
      </c>
      <c r="Q53" s="2" t="s">
        <v>672</v>
      </c>
      <c r="R53" s="2" t="s">
        <v>673</v>
      </c>
      <c r="S53" s="2" t="s">
        <v>674</v>
      </c>
      <c r="T53" s="2" t="s">
        <v>675</v>
      </c>
      <c r="U53" s="2" t="s">
        <v>676</v>
      </c>
      <c r="V53" s="7" t="s">
        <v>677</v>
      </c>
    </row>
    <row r="54" customFormat="false" ht="53.7" hidden="false" customHeight="false" outlineLevel="0" collapsed="false">
      <c r="A54" s="2" t="s">
        <v>678</v>
      </c>
      <c r="B54" s="2" t="s">
        <v>679</v>
      </c>
      <c r="C54" s="10" t="s">
        <v>615</v>
      </c>
      <c r="D54" s="2" t="s">
        <v>680</v>
      </c>
      <c r="E54" s="2" t="s">
        <v>296</v>
      </c>
      <c r="F54" s="2" t="s">
        <v>77</v>
      </c>
      <c r="G54" s="2" t="s">
        <v>77</v>
      </c>
      <c r="H54" s="2"/>
      <c r="I54" s="2" t="s">
        <v>96</v>
      </c>
      <c r="J54" s="2" t="s">
        <v>617</v>
      </c>
      <c r="K54" s="2" t="s">
        <v>618</v>
      </c>
      <c r="L54" s="2" t="s">
        <v>256</v>
      </c>
      <c r="M54" s="2" t="s">
        <v>256</v>
      </c>
      <c r="N54" s="2" t="s">
        <v>619</v>
      </c>
      <c r="O54" s="2" t="s">
        <v>96</v>
      </c>
      <c r="P54" s="2" t="s">
        <v>258</v>
      </c>
      <c r="Q54" s="2" t="s">
        <v>681</v>
      </c>
      <c r="R54" s="2" t="s">
        <v>682</v>
      </c>
      <c r="S54" s="2" t="s">
        <v>683</v>
      </c>
      <c r="T54" s="2"/>
      <c r="U54" s="2"/>
      <c r="V54" s="7" t="s">
        <v>632</v>
      </c>
    </row>
    <row r="55" customFormat="false" ht="53.7" hidden="false" customHeight="false" outlineLevel="0" collapsed="false">
      <c r="A55" s="2" t="s">
        <v>684</v>
      </c>
      <c r="B55" s="2" t="s">
        <v>685</v>
      </c>
      <c r="C55" s="10" t="s">
        <v>615</v>
      </c>
      <c r="D55" s="2" t="s">
        <v>686</v>
      </c>
      <c r="E55" s="2" t="s">
        <v>296</v>
      </c>
      <c r="F55" s="2" t="s">
        <v>77</v>
      </c>
      <c r="G55" s="2" t="s">
        <v>77</v>
      </c>
      <c r="H55" s="2"/>
      <c r="I55" s="2" t="s">
        <v>96</v>
      </c>
      <c r="J55" s="2" t="s">
        <v>617</v>
      </c>
      <c r="K55" s="2" t="s">
        <v>618</v>
      </c>
      <c r="L55" s="2" t="s">
        <v>256</v>
      </c>
      <c r="M55" s="2" t="s">
        <v>256</v>
      </c>
      <c r="N55" s="2" t="s">
        <v>619</v>
      </c>
      <c r="O55" s="2" t="s">
        <v>96</v>
      </c>
      <c r="P55" s="2" t="s">
        <v>258</v>
      </c>
      <c r="Q55" s="2" t="s">
        <v>687</v>
      </c>
      <c r="R55" s="2" t="s">
        <v>688</v>
      </c>
      <c r="S55" s="2" t="s">
        <v>689</v>
      </c>
      <c r="T55" s="2" t="s">
        <v>262</v>
      </c>
      <c r="U55" s="2"/>
      <c r="V55" s="7" t="s">
        <v>632</v>
      </c>
    </row>
    <row r="56" customFormat="false" ht="43.25" hidden="false" customHeight="false" outlineLevel="0" collapsed="false">
      <c r="A56" s="2" t="s">
        <v>690</v>
      </c>
      <c r="B56" s="2" t="s">
        <v>691</v>
      </c>
      <c r="C56" s="10" t="s">
        <v>615</v>
      </c>
      <c r="D56" s="2" t="s">
        <v>692</v>
      </c>
      <c r="E56" s="2" t="s">
        <v>267</v>
      </c>
      <c r="F56" s="2" t="s">
        <v>77</v>
      </c>
      <c r="G56" s="2" t="s">
        <v>77</v>
      </c>
      <c r="H56" s="2" t="s">
        <v>693</v>
      </c>
      <c r="I56" s="2" t="s">
        <v>96</v>
      </c>
      <c r="J56" s="2" t="s">
        <v>617</v>
      </c>
      <c r="K56" s="2" t="s">
        <v>618</v>
      </c>
      <c r="L56" s="2" t="s">
        <v>256</v>
      </c>
      <c r="M56" s="2" t="s">
        <v>256</v>
      </c>
      <c r="N56" s="2" t="s">
        <v>619</v>
      </c>
      <c r="O56" s="2" t="s">
        <v>96</v>
      </c>
      <c r="P56" s="2" t="s">
        <v>258</v>
      </c>
      <c r="Q56" s="2" t="s">
        <v>694</v>
      </c>
      <c r="R56" s="2" t="s">
        <v>695</v>
      </c>
      <c r="S56" s="2" t="s">
        <v>696</v>
      </c>
      <c r="T56" s="2" t="s">
        <v>697</v>
      </c>
      <c r="U56" s="2"/>
      <c r="V56" s="7" t="s">
        <v>632</v>
      </c>
    </row>
    <row r="57" customFormat="false" ht="105.95" hidden="false" customHeight="false" outlineLevel="0" collapsed="false">
      <c r="A57" s="2" t="s">
        <v>698</v>
      </c>
      <c r="B57" s="2" t="s">
        <v>699</v>
      </c>
      <c r="C57" s="10" t="s">
        <v>615</v>
      </c>
      <c r="D57" s="2" t="s">
        <v>700</v>
      </c>
      <c r="E57" s="2" t="s">
        <v>267</v>
      </c>
      <c r="F57" s="2" t="s">
        <v>77</v>
      </c>
      <c r="G57" s="2" t="s">
        <v>77</v>
      </c>
      <c r="H57" s="2"/>
      <c r="I57" s="2" t="s">
        <v>96</v>
      </c>
      <c r="J57" s="2" t="s">
        <v>617</v>
      </c>
      <c r="K57" s="2" t="s">
        <v>618</v>
      </c>
      <c r="L57" s="2" t="s">
        <v>256</v>
      </c>
      <c r="M57" s="2" t="s">
        <v>256</v>
      </c>
      <c r="N57" s="2" t="s">
        <v>701</v>
      </c>
      <c r="O57" s="2" t="s">
        <v>35</v>
      </c>
      <c r="P57" s="2" t="s">
        <v>258</v>
      </c>
      <c r="Q57" s="2" t="s">
        <v>702</v>
      </c>
      <c r="R57" s="2" t="s">
        <v>703</v>
      </c>
      <c r="S57" s="2" t="s">
        <v>704</v>
      </c>
      <c r="T57" s="2" t="s">
        <v>705</v>
      </c>
      <c r="U57" s="2"/>
      <c r="V57" s="7" t="s">
        <v>706</v>
      </c>
    </row>
    <row r="58" customFormat="false" ht="64.15" hidden="false" customHeight="false" outlineLevel="0" collapsed="false">
      <c r="A58" s="2" t="s">
        <v>707</v>
      </c>
      <c r="B58" s="2" t="s">
        <v>708</v>
      </c>
      <c r="C58" s="10" t="s">
        <v>615</v>
      </c>
      <c r="D58" s="2" t="s">
        <v>709</v>
      </c>
      <c r="E58" s="2" t="s">
        <v>296</v>
      </c>
      <c r="F58" s="2" t="s">
        <v>77</v>
      </c>
      <c r="G58" s="2" t="s">
        <v>77</v>
      </c>
      <c r="H58" s="2" t="s">
        <v>297</v>
      </c>
      <c r="I58" s="2" t="s">
        <v>96</v>
      </c>
      <c r="J58" s="2" t="s">
        <v>617</v>
      </c>
      <c r="K58" s="2" t="s">
        <v>618</v>
      </c>
      <c r="L58" s="2" t="s">
        <v>256</v>
      </c>
      <c r="M58" s="2" t="s">
        <v>256</v>
      </c>
      <c r="N58" s="2" t="s">
        <v>619</v>
      </c>
      <c r="O58" s="2" t="s">
        <v>96</v>
      </c>
      <c r="P58" s="2" t="s">
        <v>258</v>
      </c>
      <c r="Q58" s="2" t="s">
        <v>710</v>
      </c>
      <c r="R58" s="2"/>
      <c r="S58" s="2" t="s">
        <v>711</v>
      </c>
      <c r="T58" s="2"/>
      <c r="U58" s="2"/>
      <c r="V58" s="7" t="s">
        <v>712</v>
      </c>
    </row>
    <row r="59" customFormat="false" ht="64.15" hidden="false" customHeight="false" outlineLevel="0" collapsed="false">
      <c r="A59" s="2" t="s">
        <v>713</v>
      </c>
      <c r="B59" s="2" t="s">
        <v>714</v>
      </c>
      <c r="C59" s="10" t="s">
        <v>615</v>
      </c>
      <c r="D59" s="2" t="s">
        <v>715</v>
      </c>
      <c r="E59" s="2" t="s">
        <v>296</v>
      </c>
      <c r="F59" s="2" t="s">
        <v>77</v>
      </c>
      <c r="G59" s="2" t="s">
        <v>77</v>
      </c>
      <c r="H59" s="2" t="s">
        <v>297</v>
      </c>
      <c r="I59" s="2" t="s">
        <v>96</v>
      </c>
      <c r="J59" s="2" t="s">
        <v>716</v>
      </c>
      <c r="K59" s="2" t="s">
        <v>81</v>
      </c>
      <c r="L59" s="2" t="s">
        <v>148</v>
      </c>
      <c r="M59" s="2" t="s">
        <v>717</v>
      </c>
      <c r="N59" s="2" t="s">
        <v>718</v>
      </c>
      <c r="O59" s="2" t="s">
        <v>35</v>
      </c>
      <c r="P59" s="2" t="s">
        <v>719</v>
      </c>
      <c r="Q59" s="2" t="s">
        <v>720</v>
      </c>
      <c r="R59" s="2" t="s">
        <v>721</v>
      </c>
      <c r="S59" s="2" t="s">
        <v>722</v>
      </c>
      <c r="T59" s="2"/>
      <c r="U59" s="2" t="s">
        <v>723</v>
      </c>
      <c r="V59" s="7" t="s">
        <v>724</v>
      </c>
    </row>
    <row r="60" customFormat="false" ht="85.05" hidden="false" customHeight="false" outlineLevel="0" collapsed="false">
      <c r="A60" s="2" t="s">
        <v>725</v>
      </c>
      <c r="B60" s="2" t="s">
        <v>726</v>
      </c>
      <c r="C60" s="10" t="s">
        <v>615</v>
      </c>
      <c r="D60" s="2" t="s">
        <v>727</v>
      </c>
      <c r="E60" s="2" t="s">
        <v>296</v>
      </c>
      <c r="F60" s="2" t="s">
        <v>77</v>
      </c>
      <c r="G60" s="2" t="s">
        <v>77</v>
      </c>
      <c r="H60" s="2" t="s">
        <v>728</v>
      </c>
      <c r="I60" s="2" t="s">
        <v>96</v>
      </c>
      <c r="J60" s="2" t="s">
        <v>729</v>
      </c>
      <c r="K60" s="2" t="s">
        <v>81</v>
      </c>
      <c r="L60" s="2" t="s">
        <v>148</v>
      </c>
      <c r="M60" s="2" t="s">
        <v>730</v>
      </c>
      <c r="N60" s="2" t="s">
        <v>731</v>
      </c>
      <c r="O60" s="2" t="s">
        <v>35</v>
      </c>
      <c r="P60" s="2" t="s">
        <v>719</v>
      </c>
      <c r="Q60" s="2" t="s">
        <v>732</v>
      </c>
      <c r="R60" s="2" t="s">
        <v>733</v>
      </c>
      <c r="S60" s="2" t="s">
        <v>722</v>
      </c>
      <c r="T60" s="2"/>
      <c r="U60" s="2" t="s">
        <v>734</v>
      </c>
      <c r="V60" s="7" t="s">
        <v>724</v>
      </c>
    </row>
    <row r="61" customFormat="false" ht="116.4" hidden="false" customHeight="false" outlineLevel="0" collapsed="false">
      <c r="A61" s="2" t="s">
        <v>735</v>
      </c>
      <c r="B61" s="2" t="s">
        <v>736</v>
      </c>
      <c r="C61" s="10" t="s">
        <v>615</v>
      </c>
      <c r="D61" s="2" t="s">
        <v>737</v>
      </c>
      <c r="E61" s="2" t="s">
        <v>296</v>
      </c>
      <c r="F61" s="2" t="s">
        <v>77</v>
      </c>
      <c r="G61" s="2" t="s">
        <v>77</v>
      </c>
      <c r="H61" s="2" t="s">
        <v>445</v>
      </c>
      <c r="I61" s="2" t="s">
        <v>96</v>
      </c>
      <c r="J61" s="2" t="s">
        <v>738</v>
      </c>
      <c r="K61" s="2" t="s">
        <v>739</v>
      </c>
      <c r="L61" s="2" t="s">
        <v>113</v>
      </c>
      <c r="M61" s="2" t="s">
        <v>740</v>
      </c>
      <c r="N61" s="2" t="s">
        <v>741</v>
      </c>
      <c r="O61" s="2" t="s">
        <v>35</v>
      </c>
      <c r="P61" s="2" t="s">
        <v>742</v>
      </c>
      <c r="Q61" s="2" t="s">
        <v>743</v>
      </c>
      <c r="R61" s="2" t="s">
        <v>744</v>
      </c>
      <c r="S61" s="2" t="s">
        <v>745</v>
      </c>
      <c r="T61" s="2" t="s">
        <v>262</v>
      </c>
      <c r="U61" s="2" t="s">
        <v>746</v>
      </c>
      <c r="V61" s="7" t="s">
        <v>747</v>
      </c>
    </row>
    <row r="62" customFormat="false" ht="95.5" hidden="false" customHeight="false" outlineLevel="0" collapsed="false">
      <c r="A62" s="2" t="s">
        <v>748</v>
      </c>
      <c r="B62" s="2" t="s">
        <v>749</v>
      </c>
      <c r="C62" s="10" t="s">
        <v>615</v>
      </c>
      <c r="D62" s="2" t="s">
        <v>750</v>
      </c>
      <c r="E62" s="2" t="s">
        <v>267</v>
      </c>
      <c r="F62" s="2" t="s">
        <v>77</v>
      </c>
      <c r="G62" s="2" t="s">
        <v>77</v>
      </c>
      <c r="H62" s="2" t="s">
        <v>751</v>
      </c>
      <c r="I62" s="2" t="s">
        <v>348</v>
      </c>
      <c r="J62" s="2" t="s">
        <v>752</v>
      </c>
      <c r="K62" s="2" t="s">
        <v>618</v>
      </c>
      <c r="L62" s="2" t="s">
        <v>256</v>
      </c>
      <c r="M62" s="2" t="s">
        <v>256</v>
      </c>
      <c r="N62" s="2" t="s">
        <v>753</v>
      </c>
      <c r="O62" s="2" t="s">
        <v>35</v>
      </c>
      <c r="P62" s="2" t="s">
        <v>258</v>
      </c>
      <c r="Q62" s="2" t="s">
        <v>754</v>
      </c>
      <c r="R62" s="2" t="s">
        <v>755</v>
      </c>
      <c r="S62" s="2" t="s">
        <v>756</v>
      </c>
      <c r="T62" s="2" t="s">
        <v>757</v>
      </c>
      <c r="U62" s="2"/>
      <c r="V62" s="7" t="s">
        <v>758</v>
      </c>
    </row>
    <row r="63" customFormat="false" ht="85.05" hidden="false" customHeight="false" outlineLevel="0" collapsed="false">
      <c r="A63" s="2" t="s">
        <v>759</v>
      </c>
      <c r="B63" s="2" t="s">
        <v>760</v>
      </c>
      <c r="C63" s="10" t="s">
        <v>615</v>
      </c>
      <c r="D63" s="2" t="s">
        <v>761</v>
      </c>
      <c r="E63" s="2" t="s">
        <v>296</v>
      </c>
      <c r="F63" s="2" t="s">
        <v>77</v>
      </c>
      <c r="G63" s="2" t="s">
        <v>77</v>
      </c>
      <c r="H63" s="2" t="s">
        <v>445</v>
      </c>
      <c r="I63" s="2" t="s">
        <v>657</v>
      </c>
      <c r="J63" s="2" t="s">
        <v>762</v>
      </c>
      <c r="K63" s="2" t="s">
        <v>81</v>
      </c>
      <c r="L63" s="2" t="s">
        <v>113</v>
      </c>
      <c r="M63" s="2" t="s">
        <v>114</v>
      </c>
      <c r="N63" s="2" t="s">
        <v>763</v>
      </c>
      <c r="O63" s="2" t="s">
        <v>35</v>
      </c>
      <c r="P63" s="2" t="s">
        <v>764</v>
      </c>
      <c r="Q63" s="2" t="s">
        <v>765</v>
      </c>
      <c r="R63" s="2" t="s">
        <v>766</v>
      </c>
      <c r="S63" s="2" t="s">
        <v>767</v>
      </c>
      <c r="T63" s="2"/>
      <c r="U63" s="2" t="s">
        <v>768</v>
      </c>
      <c r="V63" s="2"/>
    </row>
    <row r="64" customFormat="false" ht="53.7" hidden="false" customHeight="false" outlineLevel="0" collapsed="false">
      <c r="A64" s="2" t="s">
        <v>769</v>
      </c>
      <c r="B64" s="2" t="s">
        <v>770</v>
      </c>
      <c r="C64" s="10" t="s">
        <v>615</v>
      </c>
      <c r="D64" s="2" t="s">
        <v>771</v>
      </c>
      <c r="E64" s="2" t="s">
        <v>267</v>
      </c>
      <c r="F64" s="2" t="s">
        <v>77</v>
      </c>
      <c r="G64" s="2" t="s">
        <v>77</v>
      </c>
      <c r="H64" s="2"/>
      <c r="I64" s="2" t="s">
        <v>96</v>
      </c>
      <c r="J64" s="2" t="s">
        <v>617</v>
      </c>
      <c r="K64" s="2" t="s">
        <v>618</v>
      </c>
      <c r="L64" s="2" t="s">
        <v>256</v>
      </c>
      <c r="M64" s="2" t="s">
        <v>256</v>
      </c>
      <c r="N64" s="2" t="s">
        <v>619</v>
      </c>
      <c r="O64" s="2" t="s">
        <v>96</v>
      </c>
      <c r="P64" s="2" t="s">
        <v>258</v>
      </c>
      <c r="Q64" s="2" t="s">
        <v>772</v>
      </c>
      <c r="R64" s="2" t="s">
        <v>773</v>
      </c>
      <c r="S64" s="2" t="s">
        <v>774</v>
      </c>
      <c r="T64" s="2" t="s">
        <v>775</v>
      </c>
      <c r="U64" s="2"/>
      <c r="V64" s="7" t="s">
        <v>632</v>
      </c>
    </row>
    <row r="65" customFormat="false" ht="43.25" hidden="false" customHeight="false" outlineLevel="0" collapsed="false">
      <c r="A65" s="2" t="s">
        <v>776</v>
      </c>
      <c r="B65" s="2" t="s">
        <v>777</v>
      </c>
      <c r="C65" s="10" t="s">
        <v>615</v>
      </c>
      <c r="D65" s="2" t="s">
        <v>778</v>
      </c>
      <c r="E65" s="2" t="s">
        <v>529</v>
      </c>
      <c r="F65" s="2" t="s">
        <v>77</v>
      </c>
      <c r="G65" s="2" t="s">
        <v>77</v>
      </c>
      <c r="H65" s="2"/>
      <c r="I65" s="2" t="s">
        <v>96</v>
      </c>
      <c r="J65" s="2" t="s">
        <v>617</v>
      </c>
      <c r="K65" s="2" t="s">
        <v>618</v>
      </c>
      <c r="L65" s="2" t="s">
        <v>256</v>
      </c>
      <c r="M65" s="2" t="s">
        <v>256</v>
      </c>
      <c r="N65" s="2" t="s">
        <v>619</v>
      </c>
      <c r="O65" s="2" t="s">
        <v>96</v>
      </c>
      <c r="P65" s="2" t="s">
        <v>258</v>
      </c>
      <c r="Q65" s="2" t="s">
        <v>779</v>
      </c>
      <c r="R65" s="2" t="s">
        <v>780</v>
      </c>
      <c r="S65" s="2" t="s">
        <v>781</v>
      </c>
      <c r="T65" s="2" t="s">
        <v>623</v>
      </c>
      <c r="U65" s="2"/>
      <c r="V65" s="7" t="s">
        <v>632</v>
      </c>
    </row>
    <row r="66" customFormat="false" ht="74.6" hidden="false" customHeight="false" outlineLevel="0" collapsed="false">
      <c r="A66" s="2" t="s">
        <v>782</v>
      </c>
      <c r="B66" s="2" t="s">
        <v>783</v>
      </c>
      <c r="C66" s="10" t="s">
        <v>615</v>
      </c>
      <c r="D66" s="2" t="s">
        <v>784</v>
      </c>
      <c r="E66" s="2" t="s">
        <v>296</v>
      </c>
      <c r="F66" s="2" t="s">
        <v>77</v>
      </c>
      <c r="G66" s="2" t="s">
        <v>77</v>
      </c>
      <c r="H66" s="2" t="s">
        <v>297</v>
      </c>
      <c r="I66" s="2" t="s">
        <v>96</v>
      </c>
      <c r="J66" s="2" t="s">
        <v>785</v>
      </c>
      <c r="K66" s="2" t="s">
        <v>81</v>
      </c>
      <c r="L66" s="2" t="s">
        <v>113</v>
      </c>
      <c r="M66" s="2" t="s">
        <v>114</v>
      </c>
      <c r="N66" s="2" t="s">
        <v>786</v>
      </c>
      <c r="O66" s="2" t="s">
        <v>35</v>
      </c>
      <c r="P66" s="2" t="s">
        <v>460</v>
      </c>
      <c r="Q66" s="2" t="s">
        <v>787</v>
      </c>
      <c r="R66" s="2" t="s">
        <v>788</v>
      </c>
      <c r="S66" s="2" t="s">
        <v>789</v>
      </c>
      <c r="T66" s="2"/>
      <c r="U66" s="2" t="s">
        <v>790</v>
      </c>
      <c r="V66" s="7" t="s">
        <v>791</v>
      </c>
    </row>
    <row r="67" customFormat="false" ht="105.95" hidden="false" customHeight="false" outlineLevel="0" collapsed="false">
      <c r="A67" s="2" t="s">
        <v>792</v>
      </c>
      <c r="B67" s="2" t="s">
        <v>793</v>
      </c>
      <c r="C67" s="10" t="s">
        <v>615</v>
      </c>
      <c r="D67" s="2" t="s">
        <v>794</v>
      </c>
      <c r="E67" s="2" t="s">
        <v>296</v>
      </c>
      <c r="F67" s="2" t="s">
        <v>77</v>
      </c>
      <c r="G67" s="2" t="s">
        <v>77</v>
      </c>
      <c r="H67" s="2" t="s">
        <v>297</v>
      </c>
      <c r="I67" s="2" t="s">
        <v>96</v>
      </c>
      <c r="J67" s="2" t="s">
        <v>795</v>
      </c>
      <c r="K67" s="2" t="s">
        <v>81</v>
      </c>
      <c r="L67" s="2" t="s">
        <v>148</v>
      </c>
      <c r="M67" s="2" t="s">
        <v>796</v>
      </c>
      <c r="N67" s="2" t="s">
        <v>797</v>
      </c>
      <c r="O67" s="2" t="s">
        <v>35</v>
      </c>
      <c r="P67" s="2" t="s">
        <v>798</v>
      </c>
      <c r="Q67" s="2" t="s">
        <v>799</v>
      </c>
      <c r="R67" s="2" t="s">
        <v>800</v>
      </c>
      <c r="S67" s="2" t="s">
        <v>801</v>
      </c>
      <c r="T67" s="2"/>
      <c r="U67" s="2" t="s">
        <v>802</v>
      </c>
      <c r="V67" s="7" t="s">
        <v>803</v>
      </c>
    </row>
    <row r="68" customFormat="false" ht="53.7" hidden="false" customHeight="false" outlineLevel="0" collapsed="false">
      <c r="A68" s="2" t="s">
        <v>804</v>
      </c>
      <c r="B68" s="2" t="s">
        <v>805</v>
      </c>
      <c r="C68" s="10" t="s">
        <v>615</v>
      </c>
      <c r="D68" s="2" t="s">
        <v>806</v>
      </c>
      <c r="E68" s="2" t="s">
        <v>296</v>
      </c>
      <c r="F68" s="2" t="s">
        <v>77</v>
      </c>
      <c r="G68" s="2" t="s">
        <v>77</v>
      </c>
      <c r="H68" s="2" t="s">
        <v>728</v>
      </c>
      <c r="I68" s="2" t="s">
        <v>96</v>
      </c>
      <c r="J68" s="2" t="s">
        <v>617</v>
      </c>
      <c r="K68" s="2" t="s">
        <v>618</v>
      </c>
      <c r="L68" s="2" t="s">
        <v>256</v>
      </c>
      <c r="M68" s="2" t="s">
        <v>256</v>
      </c>
      <c r="N68" s="2" t="s">
        <v>807</v>
      </c>
      <c r="O68" s="2" t="s">
        <v>96</v>
      </c>
      <c r="P68" s="2" t="s">
        <v>258</v>
      </c>
      <c r="Q68" s="2" t="s">
        <v>808</v>
      </c>
      <c r="R68" s="2" t="s">
        <v>809</v>
      </c>
      <c r="S68" s="2" t="s">
        <v>810</v>
      </c>
      <c r="T68" s="2" t="s">
        <v>262</v>
      </c>
      <c r="U68" s="2"/>
      <c r="V68" s="7" t="s">
        <v>632</v>
      </c>
    </row>
    <row r="69" customFormat="false" ht="53.7" hidden="false" customHeight="false" outlineLevel="0" collapsed="false">
      <c r="A69" s="2" t="s">
        <v>811</v>
      </c>
      <c r="B69" s="2" t="s">
        <v>812</v>
      </c>
      <c r="C69" s="10" t="s">
        <v>615</v>
      </c>
      <c r="D69" s="2" t="s">
        <v>813</v>
      </c>
      <c r="E69" s="2" t="s">
        <v>296</v>
      </c>
      <c r="F69" s="2" t="s">
        <v>77</v>
      </c>
      <c r="G69" s="2" t="s">
        <v>77</v>
      </c>
      <c r="H69" s="2" t="s">
        <v>445</v>
      </c>
      <c r="I69" s="2" t="s">
        <v>96</v>
      </c>
      <c r="J69" s="2" t="s">
        <v>617</v>
      </c>
      <c r="K69" s="2" t="s">
        <v>618</v>
      </c>
      <c r="L69" s="2" t="s">
        <v>256</v>
      </c>
      <c r="M69" s="2" t="s">
        <v>256</v>
      </c>
      <c r="N69" s="2" t="s">
        <v>814</v>
      </c>
      <c r="O69" s="2" t="s">
        <v>96</v>
      </c>
      <c r="P69" s="2" t="s">
        <v>258</v>
      </c>
      <c r="Q69" s="2" t="s">
        <v>815</v>
      </c>
      <c r="R69" s="2" t="s">
        <v>816</v>
      </c>
      <c r="S69" s="2" t="s">
        <v>817</v>
      </c>
      <c r="T69" s="2" t="s">
        <v>818</v>
      </c>
      <c r="U69" s="2"/>
      <c r="V69" s="7" t="s">
        <v>632</v>
      </c>
    </row>
    <row r="70" customFormat="false" ht="116.4" hidden="false" customHeight="false" outlineLevel="0" collapsed="false">
      <c r="A70" s="2" t="s">
        <v>819</v>
      </c>
      <c r="B70" s="2" t="s">
        <v>820</v>
      </c>
      <c r="C70" s="10" t="s">
        <v>615</v>
      </c>
      <c r="D70" s="2" t="s">
        <v>821</v>
      </c>
      <c r="E70" s="2" t="s">
        <v>267</v>
      </c>
      <c r="F70" s="2" t="s">
        <v>77</v>
      </c>
      <c r="G70" s="2" t="s">
        <v>77</v>
      </c>
      <c r="H70" s="2"/>
      <c r="I70" s="2" t="s">
        <v>96</v>
      </c>
      <c r="J70" s="2" t="s">
        <v>617</v>
      </c>
      <c r="K70" s="2" t="s">
        <v>618</v>
      </c>
      <c r="L70" s="2" t="s">
        <v>256</v>
      </c>
      <c r="M70" s="2" t="s">
        <v>256</v>
      </c>
      <c r="N70" s="2" t="s">
        <v>822</v>
      </c>
      <c r="O70" s="2" t="s">
        <v>96</v>
      </c>
      <c r="P70" s="2" t="s">
        <v>258</v>
      </c>
      <c r="Q70" s="2" t="s">
        <v>823</v>
      </c>
      <c r="R70" s="2" t="s">
        <v>824</v>
      </c>
      <c r="S70" s="2" t="s">
        <v>825</v>
      </c>
      <c r="T70" s="2" t="s">
        <v>826</v>
      </c>
      <c r="U70" s="2"/>
      <c r="V70" s="7" t="s">
        <v>827</v>
      </c>
    </row>
    <row r="71" customFormat="false" ht="43.25" hidden="false" customHeight="false" outlineLevel="0" collapsed="false">
      <c r="A71" s="2" t="s">
        <v>828</v>
      </c>
      <c r="B71" s="2" t="s">
        <v>829</v>
      </c>
      <c r="C71" s="10" t="s">
        <v>615</v>
      </c>
      <c r="D71" s="2" t="s">
        <v>830</v>
      </c>
      <c r="E71" s="2" t="s">
        <v>296</v>
      </c>
      <c r="F71" s="2" t="s">
        <v>77</v>
      </c>
      <c r="G71" s="2" t="s">
        <v>77</v>
      </c>
      <c r="H71" s="2"/>
      <c r="I71" s="2" t="s">
        <v>96</v>
      </c>
      <c r="J71" s="2" t="s">
        <v>617</v>
      </c>
      <c r="K71" s="2" t="s">
        <v>618</v>
      </c>
      <c r="L71" s="2" t="s">
        <v>256</v>
      </c>
      <c r="M71" s="2" t="s">
        <v>256</v>
      </c>
      <c r="N71" s="2" t="s">
        <v>619</v>
      </c>
      <c r="O71" s="2" t="s">
        <v>96</v>
      </c>
      <c r="P71" s="2" t="s">
        <v>258</v>
      </c>
      <c r="Q71" s="2" t="s">
        <v>831</v>
      </c>
      <c r="R71" s="2" t="s">
        <v>832</v>
      </c>
      <c r="S71" s="2" t="s">
        <v>774</v>
      </c>
      <c r="T71" s="2" t="s">
        <v>833</v>
      </c>
      <c r="U71" s="2"/>
      <c r="V71" s="7" t="s">
        <v>632</v>
      </c>
    </row>
    <row r="72" customFormat="false" ht="43.25" hidden="false" customHeight="false" outlineLevel="0" collapsed="false">
      <c r="A72" s="2" t="s">
        <v>834</v>
      </c>
      <c r="B72" s="2" t="s">
        <v>835</v>
      </c>
      <c r="C72" s="10" t="s">
        <v>615</v>
      </c>
      <c r="D72" s="2" t="s">
        <v>836</v>
      </c>
      <c r="E72" s="2" t="s">
        <v>529</v>
      </c>
      <c r="F72" s="2" t="s">
        <v>77</v>
      </c>
      <c r="G72" s="2" t="s">
        <v>77</v>
      </c>
      <c r="H72" s="2"/>
      <c r="I72" s="2" t="s">
        <v>96</v>
      </c>
      <c r="J72" s="2" t="s">
        <v>617</v>
      </c>
      <c r="K72" s="2" t="s">
        <v>618</v>
      </c>
      <c r="L72" s="2" t="s">
        <v>256</v>
      </c>
      <c r="M72" s="2" t="s">
        <v>256</v>
      </c>
      <c r="N72" s="2" t="s">
        <v>837</v>
      </c>
      <c r="O72" s="2" t="s">
        <v>96</v>
      </c>
      <c r="P72" s="2" t="s">
        <v>258</v>
      </c>
      <c r="Q72" s="2" t="s">
        <v>838</v>
      </c>
      <c r="R72" s="2" t="s">
        <v>839</v>
      </c>
      <c r="S72" s="2" t="s">
        <v>840</v>
      </c>
      <c r="T72" s="2" t="s">
        <v>841</v>
      </c>
      <c r="U72" s="2"/>
      <c r="V72" s="7" t="s">
        <v>632</v>
      </c>
    </row>
    <row r="73" customFormat="false" ht="64.15" hidden="false" customHeight="false" outlineLevel="0" collapsed="false">
      <c r="A73" s="2" t="s">
        <v>842</v>
      </c>
      <c r="B73" s="2" t="s">
        <v>843</v>
      </c>
      <c r="C73" s="10" t="s">
        <v>615</v>
      </c>
      <c r="D73" s="2" t="s">
        <v>844</v>
      </c>
      <c r="E73" s="2" t="s">
        <v>296</v>
      </c>
      <c r="F73" s="2" t="s">
        <v>77</v>
      </c>
      <c r="G73" s="2" t="s">
        <v>77</v>
      </c>
      <c r="H73" s="2" t="s">
        <v>402</v>
      </c>
      <c r="I73" s="2" t="s">
        <v>96</v>
      </c>
      <c r="J73" s="2" t="s">
        <v>617</v>
      </c>
      <c r="K73" s="2" t="s">
        <v>618</v>
      </c>
      <c r="L73" s="2" t="s">
        <v>256</v>
      </c>
      <c r="M73" s="2" t="s">
        <v>256</v>
      </c>
      <c r="N73" s="2" t="s">
        <v>619</v>
      </c>
      <c r="O73" s="2" t="s">
        <v>96</v>
      </c>
      <c r="P73" s="2" t="s">
        <v>258</v>
      </c>
      <c r="Q73" s="2" t="s">
        <v>845</v>
      </c>
      <c r="R73" s="2" t="s">
        <v>846</v>
      </c>
      <c r="S73" s="2" t="s">
        <v>774</v>
      </c>
      <c r="T73" s="2" t="s">
        <v>847</v>
      </c>
      <c r="U73" s="2"/>
      <c r="V73" s="7" t="s">
        <v>632</v>
      </c>
    </row>
    <row r="74" customFormat="false" ht="43.25" hidden="false" customHeight="false" outlineLevel="0" collapsed="false">
      <c r="A74" s="2" t="s">
        <v>848</v>
      </c>
      <c r="B74" s="2" t="s">
        <v>849</v>
      </c>
      <c r="C74" s="10" t="s">
        <v>615</v>
      </c>
      <c r="D74" s="2" t="s">
        <v>850</v>
      </c>
      <c r="E74" s="2" t="s">
        <v>296</v>
      </c>
      <c r="F74" s="2" t="s">
        <v>77</v>
      </c>
      <c r="G74" s="2" t="s">
        <v>77</v>
      </c>
      <c r="H74" s="2" t="s">
        <v>851</v>
      </c>
      <c r="I74" s="2" t="s">
        <v>96</v>
      </c>
      <c r="J74" s="2" t="s">
        <v>617</v>
      </c>
      <c r="K74" s="2" t="s">
        <v>618</v>
      </c>
      <c r="L74" s="2" t="s">
        <v>256</v>
      </c>
      <c r="M74" s="2" t="s">
        <v>256</v>
      </c>
      <c r="N74" s="2" t="s">
        <v>619</v>
      </c>
      <c r="O74" s="2" t="s">
        <v>96</v>
      </c>
      <c r="P74" s="2" t="s">
        <v>258</v>
      </c>
      <c r="Q74" s="2" t="s">
        <v>852</v>
      </c>
      <c r="R74" s="2" t="s">
        <v>853</v>
      </c>
      <c r="S74" s="2" t="s">
        <v>854</v>
      </c>
      <c r="T74" s="2" t="s">
        <v>855</v>
      </c>
      <c r="U74" s="2"/>
      <c r="V74" s="7" t="s">
        <v>632</v>
      </c>
    </row>
    <row r="75" customFormat="false" ht="95.5" hidden="false" customHeight="false" outlineLevel="0" collapsed="false">
      <c r="A75" s="2" t="s">
        <v>856</v>
      </c>
      <c r="B75" s="2" t="s">
        <v>857</v>
      </c>
      <c r="C75" s="10" t="s">
        <v>615</v>
      </c>
      <c r="D75" s="2" t="s">
        <v>858</v>
      </c>
      <c r="E75" s="2" t="s">
        <v>296</v>
      </c>
      <c r="F75" s="2" t="s">
        <v>77</v>
      </c>
      <c r="G75" s="2" t="s">
        <v>77</v>
      </c>
      <c r="H75" s="2" t="s">
        <v>728</v>
      </c>
      <c r="I75" s="2" t="s">
        <v>96</v>
      </c>
      <c r="J75" s="2" t="s">
        <v>617</v>
      </c>
      <c r="K75" s="2" t="s">
        <v>618</v>
      </c>
      <c r="L75" s="2" t="s">
        <v>256</v>
      </c>
      <c r="M75" s="2" t="s">
        <v>256</v>
      </c>
      <c r="N75" s="2" t="s">
        <v>859</v>
      </c>
      <c r="O75" s="2" t="s">
        <v>96</v>
      </c>
      <c r="P75" s="2" t="s">
        <v>258</v>
      </c>
      <c r="Q75" s="2" t="s">
        <v>860</v>
      </c>
      <c r="R75" s="2" t="s">
        <v>861</v>
      </c>
      <c r="S75" s="2" t="s">
        <v>862</v>
      </c>
      <c r="T75" s="2" t="s">
        <v>863</v>
      </c>
      <c r="U75" s="2"/>
      <c r="V75" s="7" t="s">
        <v>864</v>
      </c>
    </row>
    <row r="76" customFormat="false" ht="74.6" hidden="false" customHeight="false" outlineLevel="0" collapsed="false">
      <c r="A76" s="2" t="s">
        <v>865</v>
      </c>
      <c r="B76" s="2" t="s">
        <v>866</v>
      </c>
      <c r="C76" s="10" t="s">
        <v>615</v>
      </c>
      <c r="D76" s="2" t="s">
        <v>867</v>
      </c>
      <c r="E76" s="2" t="s">
        <v>267</v>
      </c>
      <c r="F76" s="2" t="s">
        <v>77</v>
      </c>
      <c r="G76" s="2" t="s">
        <v>77</v>
      </c>
      <c r="H76" s="2"/>
      <c r="I76" s="2" t="s">
        <v>96</v>
      </c>
      <c r="J76" s="2" t="s">
        <v>617</v>
      </c>
      <c r="K76" s="2" t="s">
        <v>618</v>
      </c>
      <c r="L76" s="2" t="s">
        <v>256</v>
      </c>
      <c r="M76" s="2" t="s">
        <v>256</v>
      </c>
      <c r="N76" s="2" t="s">
        <v>868</v>
      </c>
      <c r="O76" s="2" t="s">
        <v>96</v>
      </c>
      <c r="P76" s="2" t="s">
        <v>258</v>
      </c>
      <c r="Q76" s="2" t="s">
        <v>869</v>
      </c>
      <c r="R76" s="2" t="s">
        <v>870</v>
      </c>
      <c r="S76" s="2" t="s">
        <v>871</v>
      </c>
      <c r="T76" s="2" t="s">
        <v>872</v>
      </c>
      <c r="U76" s="2"/>
      <c r="V76" s="7" t="s">
        <v>632</v>
      </c>
    </row>
    <row r="77" customFormat="false" ht="53.7" hidden="false" customHeight="false" outlineLevel="0" collapsed="false">
      <c r="A77" s="2" t="s">
        <v>873</v>
      </c>
      <c r="B77" s="2" t="s">
        <v>874</v>
      </c>
      <c r="C77" s="10" t="s">
        <v>615</v>
      </c>
      <c r="D77" s="2" t="s">
        <v>875</v>
      </c>
      <c r="E77" s="2" t="s">
        <v>267</v>
      </c>
      <c r="F77" s="2" t="s">
        <v>77</v>
      </c>
      <c r="G77" s="2" t="s">
        <v>77</v>
      </c>
      <c r="H77" s="2"/>
      <c r="I77" s="2" t="s">
        <v>96</v>
      </c>
      <c r="J77" s="2" t="s">
        <v>617</v>
      </c>
      <c r="K77" s="2" t="s">
        <v>618</v>
      </c>
      <c r="L77" s="2" t="s">
        <v>256</v>
      </c>
      <c r="M77" s="2" t="s">
        <v>256</v>
      </c>
      <c r="N77" s="2" t="s">
        <v>619</v>
      </c>
      <c r="O77" s="2" t="s">
        <v>96</v>
      </c>
      <c r="P77" s="2" t="s">
        <v>258</v>
      </c>
      <c r="Q77" s="2" t="s">
        <v>876</v>
      </c>
      <c r="R77" s="2" t="s">
        <v>877</v>
      </c>
      <c r="S77" s="2" t="s">
        <v>774</v>
      </c>
      <c r="T77" s="2" t="s">
        <v>878</v>
      </c>
      <c r="U77" s="2"/>
      <c r="V77" s="7" t="s">
        <v>632</v>
      </c>
    </row>
    <row r="78" customFormat="false" ht="64.15" hidden="false" customHeight="false" outlineLevel="0" collapsed="false">
      <c r="A78" s="2" t="s">
        <v>879</v>
      </c>
      <c r="B78" s="2" t="s">
        <v>880</v>
      </c>
      <c r="C78" s="10" t="s">
        <v>615</v>
      </c>
      <c r="D78" s="2" t="s">
        <v>881</v>
      </c>
      <c r="E78" s="2" t="s">
        <v>296</v>
      </c>
      <c r="F78" s="2" t="s">
        <v>77</v>
      </c>
      <c r="G78" s="2" t="s">
        <v>77</v>
      </c>
      <c r="H78" s="2"/>
      <c r="I78" s="2" t="s">
        <v>96</v>
      </c>
      <c r="J78" s="2" t="s">
        <v>617</v>
      </c>
      <c r="K78" s="2" t="s">
        <v>618</v>
      </c>
      <c r="L78" s="2" t="s">
        <v>256</v>
      </c>
      <c r="M78" s="2" t="s">
        <v>256</v>
      </c>
      <c r="N78" s="2" t="s">
        <v>882</v>
      </c>
      <c r="O78" s="2" t="s">
        <v>35</v>
      </c>
      <c r="P78" s="2" t="s">
        <v>258</v>
      </c>
      <c r="Q78" s="2" t="s">
        <v>883</v>
      </c>
      <c r="R78" s="2" t="s">
        <v>884</v>
      </c>
      <c r="S78" s="2" t="s">
        <v>885</v>
      </c>
      <c r="T78" s="2" t="s">
        <v>886</v>
      </c>
      <c r="U78" s="2"/>
      <c r="V78" s="7" t="s">
        <v>887</v>
      </c>
    </row>
    <row r="79" customFormat="false" ht="85.05" hidden="false" customHeight="false" outlineLevel="0" collapsed="false">
      <c r="A79" s="2" t="s">
        <v>888</v>
      </c>
      <c r="B79" s="2" t="s">
        <v>889</v>
      </c>
      <c r="C79" s="10" t="s">
        <v>615</v>
      </c>
      <c r="D79" s="2" t="s">
        <v>890</v>
      </c>
      <c r="E79" s="2" t="s">
        <v>529</v>
      </c>
      <c r="F79" s="2" t="s">
        <v>77</v>
      </c>
      <c r="G79" s="2" t="s">
        <v>77</v>
      </c>
      <c r="H79" s="2" t="s">
        <v>297</v>
      </c>
      <c r="I79" s="2" t="s">
        <v>96</v>
      </c>
      <c r="J79" s="2" t="s">
        <v>617</v>
      </c>
      <c r="K79" s="2" t="s">
        <v>618</v>
      </c>
      <c r="L79" s="2" t="s">
        <v>256</v>
      </c>
      <c r="M79" s="2" t="s">
        <v>256</v>
      </c>
      <c r="N79" s="2" t="s">
        <v>619</v>
      </c>
      <c r="O79" s="2" t="s">
        <v>96</v>
      </c>
      <c r="P79" s="2" t="s">
        <v>258</v>
      </c>
      <c r="Q79" s="2" t="s">
        <v>891</v>
      </c>
      <c r="R79" s="2" t="s">
        <v>892</v>
      </c>
      <c r="S79" s="2" t="s">
        <v>893</v>
      </c>
      <c r="T79" s="2" t="s">
        <v>894</v>
      </c>
      <c r="U79" s="2"/>
      <c r="V79" s="7" t="s">
        <v>895</v>
      </c>
    </row>
    <row r="80" customFormat="false" ht="43.25" hidden="false" customHeight="false" outlineLevel="0" collapsed="false">
      <c r="A80" s="2" t="s">
        <v>896</v>
      </c>
      <c r="B80" s="2" t="s">
        <v>897</v>
      </c>
      <c r="C80" s="10" t="s">
        <v>615</v>
      </c>
      <c r="D80" s="2" t="s">
        <v>898</v>
      </c>
      <c r="E80" s="2" t="s">
        <v>529</v>
      </c>
      <c r="F80" s="2" t="s">
        <v>77</v>
      </c>
      <c r="G80" s="2" t="s">
        <v>77</v>
      </c>
      <c r="H80" s="2"/>
      <c r="I80" s="2" t="s">
        <v>96</v>
      </c>
      <c r="J80" s="2" t="s">
        <v>617</v>
      </c>
      <c r="K80" s="2" t="s">
        <v>618</v>
      </c>
      <c r="L80" s="2" t="s">
        <v>256</v>
      </c>
      <c r="M80" s="2" t="s">
        <v>256</v>
      </c>
      <c r="N80" s="2" t="s">
        <v>899</v>
      </c>
      <c r="O80" s="2" t="s">
        <v>96</v>
      </c>
      <c r="P80" s="2" t="s">
        <v>258</v>
      </c>
      <c r="Q80" s="2" t="s">
        <v>900</v>
      </c>
      <c r="R80" s="2" t="s">
        <v>901</v>
      </c>
      <c r="S80" s="2" t="s">
        <v>902</v>
      </c>
      <c r="T80" s="2" t="s">
        <v>903</v>
      </c>
      <c r="U80" s="2"/>
      <c r="V80" s="7" t="s">
        <v>632</v>
      </c>
    </row>
    <row r="81" customFormat="false" ht="95.5" hidden="false" customHeight="false" outlineLevel="0" collapsed="false">
      <c r="A81" s="2" t="s">
        <v>904</v>
      </c>
      <c r="B81" s="2" t="s">
        <v>905</v>
      </c>
      <c r="C81" s="10" t="s">
        <v>615</v>
      </c>
      <c r="D81" s="2" t="s">
        <v>906</v>
      </c>
      <c r="E81" s="2" t="s">
        <v>267</v>
      </c>
      <c r="F81" s="2" t="s">
        <v>77</v>
      </c>
      <c r="G81" s="2" t="s">
        <v>77</v>
      </c>
      <c r="H81" s="2"/>
      <c r="I81" s="2" t="s">
        <v>96</v>
      </c>
      <c r="J81" s="2" t="s">
        <v>617</v>
      </c>
      <c r="K81" s="2" t="s">
        <v>618</v>
      </c>
      <c r="L81" s="2" t="s">
        <v>256</v>
      </c>
      <c r="M81" s="2" t="s">
        <v>256</v>
      </c>
      <c r="N81" s="2" t="s">
        <v>868</v>
      </c>
      <c r="O81" s="2" t="s">
        <v>96</v>
      </c>
      <c r="P81" s="2" t="s">
        <v>258</v>
      </c>
      <c r="Q81" s="2" t="s">
        <v>907</v>
      </c>
      <c r="R81" s="2" t="s">
        <v>908</v>
      </c>
      <c r="S81" s="2" t="s">
        <v>909</v>
      </c>
      <c r="T81" s="2" t="s">
        <v>910</v>
      </c>
      <c r="U81" s="2"/>
      <c r="V81" s="7" t="s">
        <v>911</v>
      </c>
    </row>
    <row r="82" customFormat="false" ht="43.25" hidden="false" customHeight="false" outlineLevel="0" collapsed="false">
      <c r="A82" s="2" t="s">
        <v>912</v>
      </c>
      <c r="B82" s="2" t="s">
        <v>913</v>
      </c>
      <c r="C82" s="10" t="s">
        <v>615</v>
      </c>
      <c r="D82" s="2" t="s">
        <v>914</v>
      </c>
      <c r="E82" s="2" t="s">
        <v>529</v>
      </c>
      <c r="F82" s="2" t="s">
        <v>77</v>
      </c>
      <c r="G82" s="2" t="s">
        <v>77</v>
      </c>
      <c r="H82" s="2" t="s">
        <v>297</v>
      </c>
      <c r="I82" s="2" t="s">
        <v>96</v>
      </c>
      <c r="J82" s="2" t="s">
        <v>617</v>
      </c>
      <c r="K82" s="2" t="s">
        <v>618</v>
      </c>
      <c r="L82" s="2" t="s">
        <v>256</v>
      </c>
      <c r="M82" s="2" t="s">
        <v>256</v>
      </c>
      <c r="N82" s="2" t="s">
        <v>619</v>
      </c>
      <c r="O82" s="2" t="s">
        <v>96</v>
      </c>
      <c r="P82" s="2" t="s">
        <v>258</v>
      </c>
      <c r="Q82" s="2" t="s">
        <v>915</v>
      </c>
      <c r="R82" s="2" t="s">
        <v>916</v>
      </c>
      <c r="S82" s="2" t="s">
        <v>917</v>
      </c>
      <c r="T82" s="2" t="s">
        <v>918</v>
      </c>
      <c r="U82" s="2"/>
      <c r="V82" s="7" t="s">
        <v>632</v>
      </c>
    </row>
    <row r="83" customFormat="false" ht="85.05" hidden="false" customHeight="false" outlineLevel="0" collapsed="false">
      <c r="A83" s="2" t="s">
        <v>919</v>
      </c>
      <c r="B83" s="2" t="s">
        <v>920</v>
      </c>
      <c r="C83" s="10" t="s">
        <v>615</v>
      </c>
      <c r="D83" s="2" t="s">
        <v>921</v>
      </c>
      <c r="E83" s="2" t="s">
        <v>267</v>
      </c>
      <c r="F83" s="2" t="s">
        <v>77</v>
      </c>
      <c r="G83" s="2" t="s">
        <v>77</v>
      </c>
      <c r="H83" s="2"/>
      <c r="I83" s="2" t="s">
        <v>96</v>
      </c>
      <c r="J83" s="2" t="s">
        <v>617</v>
      </c>
      <c r="K83" s="2" t="s">
        <v>618</v>
      </c>
      <c r="L83" s="2" t="s">
        <v>256</v>
      </c>
      <c r="M83" s="2" t="s">
        <v>256</v>
      </c>
      <c r="N83" s="2" t="s">
        <v>619</v>
      </c>
      <c r="O83" s="2" t="s">
        <v>96</v>
      </c>
      <c r="P83" s="2" t="s">
        <v>258</v>
      </c>
      <c r="Q83" s="2" t="s">
        <v>922</v>
      </c>
      <c r="R83" s="2" t="s">
        <v>923</v>
      </c>
      <c r="S83" s="2" t="s">
        <v>924</v>
      </c>
      <c r="T83" s="2" t="s">
        <v>262</v>
      </c>
      <c r="U83" s="2"/>
      <c r="V83" s="7" t="s">
        <v>925</v>
      </c>
    </row>
    <row r="84" customFormat="false" ht="64.15" hidden="false" customHeight="false" outlineLevel="0" collapsed="false">
      <c r="A84" s="2" t="s">
        <v>926</v>
      </c>
      <c r="B84" s="2" t="s">
        <v>927</v>
      </c>
      <c r="C84" s="10" t="s">
        <v>615</v>
      </c>
      <c r="D84" s="2" t="s">
        <v>928</v>
      </c>
      <c r="E84" s="2" t="s">
        <v>296</v>
      </c>
      <c r="F84" s="2" t="s">
        <v>77</v>
      </c>
      <c r="G84" s="2" t="s">
        <v>77</v>
      </c>
      <c r="H84" s="2" t="s">
        <v>728</v>
      </c>
      <c r="I84" s="2" t="s">
        <v>96</v>
      </c>
      <c r="J84" s="2" t="s">
        <v>617</v>
      </c>
      <c r="K84" s="2" t="s">
        <v>618</v>
      </c>
      <c r="L84" s="2" t="s">
        <v>256</v>
      </c>
      <c r="M84" s="2" t="s">
        <v>256</v>
      </c>
      <c r="N84" s="2" t="s">
        <v>619</v>
      </c>
      <c r="O84" s="2" t="s">
        <v>96</v>
      </c>
      <c r="P84" s="2" t="s">
        <v>258</v>
      </c>
      <c r="Q84" s="2" t="s">
        <v>929</v>
      </c>
      <c r="R84" s="2" t="s">
        <v>930</v>
      </c>
      <c r="S84" s="2" t="s">
        <v>931</v>
      </c>
      <c r="T84" s="2" t="s">
        <v>262</v>
      </c>
      <c r="U84" s="2"/>
      <c r="V84" s="7" t="s">
        <v>932</v>
      </c>
    </row>
    <row r="85" customFormat="false" ht="53.7" hidden="false" customHeight="false" outlineLevel="0" collapsed="false">
      <c r="A85" s="2" t="s">
        <v>933</v>
      </c>
      <c r="B85" s="2" t="s">
        <v>934</v>
      </c>
      <c r="C85" s="10" t="s">
        <v>615</v>
      </c>
      <c r="D85" s="2" t="s">
        <v>935</v>
      </c>
      <c r="E85" s="2" t="s">
        <v>267</v>
      </c>
      <c r="F85" s="2" t="s">
        <v>77</v>
      </c>
      <c r="G85" s="2" t="s">
        <v>77</v>
      </c>
      <c r="H85" s="2" t="s">
        <v>693</v>
      </c>
      <c r="I85" s="2" t="s">
        <v>96</v>
      </c>
      <c r="J85" s="2" t="s">
        <v>617</v>
      </c>
      <c r="K85" s="2" t="s">
        <v>618</v>
      </c>
      <c r="L85" s="2" t="s">
        <v>256</v>
      </c>
      <c r="M85" s="2" t="s">
        <v>256</v>
      </c>
      <c r="N85" s="2" t="s">
        <v>619</v>
      </c>
      <c r="O85" s="2" t="s">
        <v>96</v>
      </c>
      <c r="P85" s="2" t="s">
        <v>258</v>
      </c>
      <c r="Q85" s="2" t="s">
        <v>936</v>
      </c>
      <c r="R85" s="2" t="s">
        <v>937</v>
      </c>
      <c r="S85" s="2" t="s">
        <v>938</v>
      </c>
      <c r="T85" s="2" t="s">
        <v>939</v>
      </c>
      <c r="U85" s="2"/>
      <c r="V85" s="7" t="s">
        <v>632</v>
      </c>
    </row>
    <row r="86" customFormat="false" ht="116.4" hidden="false" customHeight="false" outlineLevel="0" collapsed="false">
      <c r="A86" s="2" t="s">
        <v>940</v>
      </c>
      <c r="B86" s="2" t="s">
        <v>941</v>
      </c>
      <c r="C86" s="10" t="s">
        <v>615</v>
      </c>
      <c r="D86" s="2" t="s">
        <v>942</v>
      </c>
      <c r="E86" s="2" t="s">
        <v>529</v>
      </c>
      <c r="F86" s="2" t="s">
        <v>77</v>
      </c>
      <c r="G86" s="2" t="s">
        <v>77</v>
      </c>
      <c r="H86" s="2" t="s">
        <v>943</v>
      </c>
      <c r="I86" s="2" t="s">
        <v>348</v>
      </c>
      <c r="J86" s="2" t="s">
        <v>944</v>
      </c>
      <c r="K86" s="2" t="s">
        <v>81</v>
      </c>
      <c r="L86" s="2" t="s">
        <v>148</v>
      </c>
      <c r="M86" s="2" t="s">
        <v>945</v>
      </c>
      <c r="N86" s="2" t="s">
        <v>946</v>
      </c>
      <c r="O86" s="2" t="s">
        <v>35</v>
      </c>
      <c r="P86" s="2" t="s">
        <v>947</v>
      </c>
      <c r="Q86" s="2" t="s">
        <v>948</v>
      </c>
      <c r="R86" s="2" t="s">
        <v>949</v>
      </c>
      <c r="S86" s="2" t="s">
        <v>950</v>
      </c>
      <c r="T86" s="2" t="s">
        <v>951</v>
      </c>
      <c r="U86" s="2" t="s">
        <v>952</v>
      </c>
      <c r="V86" s="2"/>
    </row>
    <row r="87" customFormat="false" ht="85.05" hidden="false" customHeight="false" outlineLevel="0" collapsed="false">
      <c r="A87" s="2" t="s">
        <v>953</v>
      </c>
      <c r="B87" s="2" t="s">
        <v>954</v>
      </c>
      <c r="C87" s="10" t="s">
        <v>615</v>
      </c>
      <c r="D87" s="2" t="s">
        <v>955</v>
      </c>
      <c r="E87" s="2" t="s">
        <v>296</v>
      </c>
      <c r="F87" s="2" t="s">
        <v>77</v>
      </c>
      <c r="G87" s="2" t="s">
        <v>77</v>
      </c>
      <c r="H87" s="2" t="s">
        <v>728</v>
      </c>
      <c r="I87" s="2" t="s">
        <v>348</v>
      </c>
      <c r="J87" s="2" t="s">
        <v>956</v>
      </c>
      <c r="K87" s="2" t="s">
        <v>138</v>
      </c>
      <c r="L87" s="2" t="s">
        <v>148</v>
      </c>
      <c r="M87" s="2" t="s">
        <v>957</v>
      </c>
      <c r="N87" s="2" t="s">
        <v>958</v>
      </c>
      <c r="O87" s="2" t="s">
        <v>35</v>
      </c>
      <c r="P87" s="2" t="s">
        <v>959</v>
      </c>
      <c r="Q87" s="2" t="s">
        <v>960</v>
      </c>
      <c r="R87" s="2" t="s">
        <v>961</v>
      </c>
      <c r="S87" s="2" t="s">
        <v>962</v>
      </c>
      <c r="T87" s="2"/>
      <c r="U87" s="2" t="s">
        <v>145</v>
      </c>
      <c r="V87" s="7" t="s">
        <v>963</v>
      </c>
    </row>
    <row r="88" customFormat="false" ht="43.25" hidden="false" customHeight="false" outlineLevel="0" collapsed="false">
      <c r="A88" s="2" t="s">
        <v>964</v>
      </c>
      <c r="B88" s="2" t="s">
        <v>965</v>
      </c>
      <c r="C88" s="10" t="s">
        <v>615</v>
      </c>
      <c r="D88" s="2" t="s">
        <v>966</v>
      </c>
      <c r="E88" s="2" t="s">
        <v>296</v>
      </c>
      <c r="F88" s="2" t="s">
        <v>77</v>
      </c>
      <c r="G88" s="2" t="s">
        <v>77</v>
      </c>
      <c r="H88" s="2"/>
      <c r="I88" s="2" t="s">
        <v>96</v>
      </c>
      <c r="J88" s="2" t="s">
        <v>617</v>
      </c>
      <c r="K88" s="2" t="s">
        <v>618</v>
      </c>
      <c r="L88" s="2" t="s">
        <v>256</v>
      </c>
      <c r="M88" s="2" t="s">
        <v>256</v>
      </c>
      <c r="N88" s="2" t="s">
        <v>619</v>
      </c>
      <c r="O88" s="2" t="s">
        <v>96</v>
      </c>
      <c r="P88" s="2" t="s">
        <v>258</v>
      </c>
      <c r="Q88" s="2" t="s">
        <v>967</v>
      </c>
      <c r="R88" s="2"/>
      <c r="S88" s="2" t="s">
        <v>774</v>
      </c>
      <c r="T88" s="2"/>
      <c r="U88" s="2"/>
      <c r="V88" s="7" t="s">
        <v>632</v>
      </c>
    </row>
    <row r="89" customFormat="false" ht="126.85" hidden="false" customHeight="false" outlineLevel="0" collapsed="false">
      <c r="A89" s="2" t="s">
        <v>968</v>
      </c>
      <c r="B89" s="2" t="s">
        <v>969</v>
      </c>
      <c r="C89" s="10" t="s">
        <v>615</v>
      </c>
      <c r="D89" s="2" t="s">
        <v>970</v>
      </c>
      <c r="E89" s="2" t="s">
        <v>296</v>
      </c>
      <c r="F89" s="2" t="s">
        <v>77</v>
      </c>
      <c r="G89" s="2" t="s">
        <v>77</v>
      </c>
      <c r="H89" s="2"/>
      <c r="I89" s="2" t="s">
        <v>96</v>
      </c>
      <c r="J89" s="2" t="s">
        <v>617</v>
      </c>
      <c r="K89" s="2" t="s">
        <v>618</v>
      </c>
      <c r="L89" s="2" t="s">
        <v>256</v>
      </c>
      <c r="M89" s="2" t="s">
        <v>256</v>
      </c>
      <c r="N89" s="2" t="s">
        <v>971</v>
      </c>
      <c r="O89" s="2" t="s">
        <v>51</v>
      </c>
      <c r="P89" s="2" t="s">
        <v>258</v>
      </c>
      <c r="Q89" s="2" t="s">
        <v>972</v>
      </c>
      <c r="R89" s="2" t="s">
        <v>973</v>
      </c>
      <c r="S89" s="2" t="s">
        <v>974</v>
      </c>
      <c r="T89" s="2" t="s">
        <v>975</v>
      </c>
      <c r="U89" s="2"/>
      <c r="V89" s="7" t="s">
        <v>976</v>
      </c>
    </row>
    <row r="90" customFormat="false" ht="64.15" hidden="false" customHeight="false" outlineLevel="0" collapsed="false">
      <c r="A90" s="2" t="s">
        <v>977</v>
      </c>
      <c r="B90" s="2" t="s">
        <v>978</v>
      </c>
      <c r="C90" s="10" t="s">
        <v>615</v>
      </c>
      <c r="D90" s="2" t="s">
        <v>979</v>
      </c>
      <c r="E90" s="2" t="s">
        <v>529</v>
      </c>
      <c r="F90" s="2" t="s">
        <v>77</v>
      </c>
      <c r="G90" s="2" t="s">
        <v>77</v>
      </c>
      <c r="H90" s="2" t="s">
        <v>980</v>
      </c>
      <c r="I90" s="2" t="s">
        <v>348</v>
      </c>
      <c r="J90" s="2" t="s">
        <v>981</v>
      </c>
      <c r="K90" s="2" t="s">
        <v>618</v>
      </c>
      <c r="L90" s="2" t="s">
        <v>256</v>
      </c>
      <c r="M90" s="2" t="s">
        <v>256</v>
      </c>
      <c r="N90" s="2" t="s">
        <v>982</v>
      </c>
      <c r="O90" s="2" t="s">
        <v>96</v>
      </c>
      <c r="P90" s="2" t="s">
        <v>258</v>
      </c>
      <c r="Q90" s="2" t="s">
        <v>983</v>
      </c>
      <c r="R90" s="2" t="s">
        <v>984</v>
      </c>
      <c r="S90" s="2" t="s">
        <v>985</v>
      </c>
      <c r="T90" s="2" t="s">
        <v>986</v>
      </c>
      <c r="U90" s="2"/>
      <c r="V90" s="7" t="s">
        <v>987</v>
      </c>
    </row>
    <row r="91" customFormat="false" ht="126.85" hidden="false" customHeight="false" outlineLevel="0" collapsed="false">
      <c r="A91" s="2" t="s">
        <v>988</v>
      </c>
      <c r="B91" s="2" t="s">
        <v>989</v>
      </c>
      <c r="C91" s="10" t="s">
        <v>615</v>
      </c>
      <c r="D91" s="2" t="s">
        <v>990</v>
      </c>
      <c r="E91" s="2" t="s">
        <v>529</v>
      </c>
      <c r="F91" s="2" t="s">
        <v>77</v>
      </c>
      <c r="G91" s="2" t="s">
        <v>77</v>
      </c>
      <c r="H91" s="2" t="s">
        <v>991</v>
      </c>
      <c r="I91" s="2" t="s">
        <v>348</v>
      </c>
      <c r="J91" s="2" t="s">
        <v>992</v>
      </c>
      <c r="K91" s="2" t="s">
        <v>993</v>
      </c>
      <c r="L91" s="2" t="s">
        <v>113</v>
      </c>
      <c r="M91" s="2" t="s">
        <v>114</v>
      </c>
      <c r="N91" s="2" t="s">
        <v>994</v>
      </c>
      <c r="O91" s="2" t="s">
        <v>35</v>
      </c>
      <c r="P91" s="2" t="s">
        <v>995</v>
      </c>
      <c r="Q91" s="2" t="s">
        <v>996</v>
      </c>
      <c r="R91" s="2" t="s">
        <v>997</v>
      </c>
      <c r="S91" s="2" t="s">
        <v>998</v>
      </c>
      <c r="T91" s="2" t="s">
        <v>999</v>
      </c>
      <c r="U91" s="2" t="s">
        <v>1000</v>
      </c>
      <c r="V91" s="7" t="s">
        <v>1001</v>
      </c>
    </row>
    <row r="92" customFormat="false" ht="43.25" hidden="false" customHeight="false" outlineLevel="0" collapsed="false">
      <c r="A92" s="2" t="s">
        <v>1002</v>
      </c>
      <c r="B92" s="2" t="s">
        <v>1003</v>
      </c>
      <c r="C92" s="10" t="s">
        <v>615</v>
      </c>
      <c r="D92" s="2" t="s">
        <v>1004</v>
      </c>
      <c r="E92" s="2" t="s">
        <v>296</v>
      </c>
      <c r="F92" s="2" t="s">
        <v>77</v>
      </c>
      <c r="G92" s="2" t="s">
        <v>77</v>
      </c>
      <c r="H92" s="2" t="s">
        <v>297</v>
      </c>
      <c r="I92" s="2" t="s">
        <v>96</v>
      </c>
      <c r="J92" s="2" t="s">
        <v>617</v>
      </c>
      <c r="K92" s="2" t="s">
        <v>618</v>
      </c>
      <c r="L92" s="2" t="s">
        <v>256</v>
      </c>
      <c r="M92" s="2" t="s">
        <v>256</v>
      </c>
      <c r="N92" s="2" t="s">
        <v>1005</v>
      </c>
      <c r="O92" s="2" t="s">
        <v>96</v>
      </c>
      <c r="P92" s="2" t="s">
        <v>258</v>
      </c>
      <c r="Q92" s="2" t="s">
        <v>1006</v>
      </c>
      <c r="R92" s="2" t="s">
        <v>1007</v>
      </c>
      <c r="S92" s="2" t="s">
        <v>917</v>
      </c>
      <c r="T92" s="2" t="s">
        <v>1008</v>
      </c>
      <c r="U92" s="2"/>
      <c r="V92" s="7" t="s">
        <v>632</v>
      </c>
    </row>
    <row r="93" customFormat="false" ht="53.7" hidden="false" customHeight="false" outlineLevel="0" collapsed="false">
      <c r="A93" s="2" t="s">
        <v>1009</v>
      </c>
      <c r="B93" s="2" t="s">
        <v>1010</v>
      </c>
      <c r="C93" s="10" t="s">
        <v>615</v>
      </c>
      <c r="D93" s="2" t="s">
        <v>1011</v>
      </c>
      <c r="E93" s="2" t="s">
        <v>296</v>
      </c>
      <c r="F93" s="2" t="s">
        <v>77</v>
      </c>
      <c r="G93" s="2" t="s">
        <v>77</v>
      </c>
      <c r="H93" s="2" t="s">
        <v>445</v>
      </c>
      <c r="I93" s="2" t="s">
        <v>96</v>
      </c>
      <c r="J93" s="2" t="s">
        <v>617</v>
      </c>
      <c r="K93" s="2" t="s">
        <v>618</v>
      </c>
      <c r="L93" s="2" t="s">
        <v>256</v>
      </c>
      <c r="M93" s="2" t="s">
        <v>256</v>
      </c>
      <c r="N93" s="2" t="s">
        <v>1005</v>
      </c>
      <c r="O93" s="2" t="s">
        <v>96</v>
      </c>
      <c r="P93" s="2" t="s">
        <v>258</v>
      </c>
      <c r="Q93" s="2" t="s">
        <v>1012</v>
      </c>
      <c r="R93" s="2" t="s">
        <v>1013</v>
      </c>
      <c r="S93" s="2" t="s">
        <v>722</v>
      </c>
      <c r="T93" s="2" t="s">
        <v>262</v>
      </c>
      <c r="U93" s="2"/>
      <c r="V93" s="7" t="s">
        <v>632</v>
      </c>
    </row>
    <row r="94" customFormat="false" ht="43.25" hidden="false" customHeight="false" outlineLevel="0" collapsed="false">
      <c r="A94" s="2" t="s">
        <v>1014</v>
      </c>
      <c r="B94" s="2" t="s">
        <v>1015</v>
      </c>
      <c r="C94" s="10" t="s">
        <v>615</v>
      </c>
      <c r="D94" s="2" t="s">
        <v>1016</v>
      </c>
      <c r="E94" s="2" t="s">
        <v>267</v>
      </c>
      <c r="F94" s="2" t="s">
        <v>77</v>
      </c>
      <c r="G94" s="2" t="s">
        <v>77</v>
      </c>
      <c r="H94" s="2" t="s">
        <v>693</v>
      </c>
      <c r="I94" s="2" t="s">
        <v>96</v>
      </c>
      <c r="J94" s="2" t="s">
        <v>617</v>
      </c>
      <c r="K94" s="2" t="s">
        <v>618</v>
      </c>
      <c r="L94" s="2" t="s">
        <v>256</v>
      </c>
      <c r="M94" s="2" t="s">
        <v>256</v>
      </c>
      <c r="N94" s="2" t="s">
        <v>619</v>
      </c>
      <c r="O94" s="2" t="s">
        <v>96</v>
      </c>
      <c r="P94" s="2" t="s">
        <v>258</v>
      </c>
      <c r="Q94" s="2" t="s">
        <v>1017</v>
      </c>
      <c r="R94" s="2" t="s">
        <v>1018</v>
      </c>
      <c r="S94" s="2" t="s">
        <v>1019</v>
      </c>
      <c r="T94" s="2" t="s">
        <v>1020</v>
      </c>
      <c r="U94" s="2"/>
      <c r="V94" s="7" t="s">
        <v>632</v>
      </c>
    </row>
    <row r="95" customFormat="false" ht="116.4" hidden="false" customHeight="false" outlineLevel="0" collapsed="false">
      <c r="A95" s="2" t="s">
        <v>1021</v>
      </c>
      <c r="B95" s="2" t="s">
        <v>1022</v>
      </c>
      <c r="C95" s="10" t="s">
        <v>615</v>
      </c>
      <c r="D95" s="2" t="s">
        <v>1023</v>
      </c>
      <c r="E95" s="2" t="s">
        <v>296</v>
      </c>
      <c r="F95" s="2" t="s">
        <v>77</v>
      </c>
      <c r="G95" s="2" t="s">
        <v>77</v>
      </c>
      <c r="H95" s="2" t="s">
        <v>1024</v>
      </c>
      <c r="I95" s="2" t="s">
        <v>96</v>
      </c>
      <c r="J95" s="2" t="s">
        <v>617</v>
      </c>
      <c r="K95" s="2" t="s">
        <v>1025</v>
      </c>
      <c r="L95" s="2" t="s">
        <v>113</v>
      </c>
      <c r="M95" s="2" t="s">
        <v>1026</v>
      </c>
      <c r="N95" s="2" t="s">
        <v>1027</v>
      </c>
      <c r="O95" s="2" t="s">
        <v>35</v>
      </c>
      <c r="P95" s="2" t="s">
        <v>460</v>
      </c>
      <c r="Q95" s="2" t="s">
        <v>1028</v>
      </c>
      <c r="R95" s="2" t="s">
        <v>1029</v>
      </c>
      <c r="S95" s="2" t="s">
        <v>1030</v>
      </c>
      <c r="T95" s="2" t="s">
        <v>1031</v>
      </c>
      <c r="U95" s="2" t="s">
        <v>1032</v>
      </c>
      <c r="V95" s="7" t="s">
        <v>1033</v>
      </c>
    </row>
    <row r="96" customFormat="false" ht="137.3" hidden="false" customHeight="false" outlineLevel="0" collapsed="false">
      <c r="A96" s="2" t="s">
        <v>1034</v>
      </c>
      <c r="B96" s="2" t="s">
        <v>1035</v>
      </c>
      <c r="C96" s="10" t="s">
        <v>615</v>
      </c>
      <c r="D96" s="2" t="s">
        <v>1036</v>
      </c>
      <c r="E96" s="2" t="s">
        <v>529</v>
      </c>
      <c r="F96" s="2" t="s">
        <v>77</v>
      </c>
      <c r="G96" s="2" t="s">
        <v>77</v>
      </c>
      <c r="H96" s="2"/>
      <c r="I96" s="2" t="s">
        <v>96</v>
      </c>
      <c r="J96" s="2" t="s">
        <v>1037</v>
      </c>
      <c r="K96" s="2" t="s">
        <v>1038</v>
      </c>
      <c r="L96" s="2" t="s">
        <v>113</v>
      </c>
      <c r="M96" s="2" t="s">
        <v>1039</v>
      </c>
      <c r="N96" s="2" t="s">
        <v>1040</v>
      </c>
      <c r="O96" s="2" t="s">
        <v>35</v>
      </c>
      <c r="P96" s="2" t="s">
        <v>671</v>
      </c>
      <c r="Q96" s="2" t="s">
        <v>1041</v>
      </c>
      <c r="R96" s="2" t="s">
        <v>1042</v>
      </c>
      <c r="S96" s="2" t="s">
        <v>1043</v>
      </c>
      <c r="T96" s="2" t="s">
        <v>1044</v>
      </c>
      <c r="U96" s="2" t="s">
        <v>1045</v>
      </c>
      <c r="V96" s="7" t="s">
        <v>1046</v>
      </c>
    </row>
    <row r="97" customFormat="false" ht="53.7" hidden="false" customHeight="false" outlineLevel="0" collapsed="false">
      <c r="A97" s="2" t="s">
        <v>1047</v>
      </c>
      <c r="B97" s="2" t="s">
        <v>1048</v>
      </c>
      <c r="C97" s="11" t="s">
        <v>1049</v>
      </c>
      <c r="D97" s="2" t="s">
        <v>1050</v>
      </c>
      <c r="E97" s="2" t="s">
        <v>1051</v>
      </c>
      <c r="F97" s="2" t="s">
        <v>77</v>
      </c>
      <c r="G97" s="2" t="s">
        <v>77</v>
      </c>
      <c r="H97" s="2" t="s">
        <v>1051</v>
      </c>
      <c r="I97" s="2" t="s">
        <v>96</v>
      </c>
      <c r="J97" s="2" t="s">
        <v>96</v>
      </c>
      <c r="K97" s="2" t="s">
        <v>81</v>
      </c>
      <c r="L97" s="2" t="s">
        <v>553</v>
      </c>
      <c r="M97" s="2" t="s">
        <v>114</v>
      </c>
      <c r="N97" s="2" t="s">
        <v>1052</v>
      </c>
      <c r="O97" s="2" t="s">
        <v>96</v>
      </c>
      <c r="P97" s="2" t="s">
        <v>1053</v>
      </c>
      <c r="Q97" s="2" t="s">
        <v>1054</v>
      </c>
      <c r="R97" s="2" t="s">
        <v>1055</v>
      </c>
      <c r="S97" s="2" t="s">
        <v>1056</v>
      </c>
      <c r="T97" s="2" t="s">
        <v>1057</v>
      </c>
      <c r="U97" s="2"/>
      <c r="V97" s="7" t="s">
        <v>1058</v>
      </c>
    </row>
    <row r="98" customFormat="false" ht="95.5" hidden="false" customHeight="false" outlineLevel="0" collapsed="false">
      <c r="A98" s="2" t="s">
        <v>1059</v>
      </c>
      <c r="B98" s="2" t="s">
        <v>1060</v>
      </c>
      <c r="C98" s="11" t="s">
        <v>1049</v>
      </c>
      <c r="D98" s="2" t="s">
        <v>1061</v>
      </c>
      <c r="E98" s="2" t="s">
        <v>1051</v>
      </c>
      <c r="F98" s="2" t="s">
        <v>77</v>
      </c>
      <c r="G98" s="2" t="s">
        <v>77</v>
      </c>
      <c r="H98" s="2" t="s">
        <v>1062</v>
      </c>
      <c r="I98" s="2" t="s">
        <v>1053</v>
      </c>
      <c r="J98" s="2" t="s">
        <v>1053</v>
      </c>
      <c r="K98" s="2" t="s">
        <v>81</v>
      </c>
      <c r="L98" s="2" t="s">
        <v>1063</v>
      </c>
      <c r="M98" s="2" t="s">
        <v>114</v>
      </c>
      <c r="N98" s="2" t="s">
        <v>381</v>
      </c>
      <c r="O98" s="2" t="s">
        <v>96</v>
      </c>
      <c r="P98" s="2" t="s">
        <v>1053</v>
      </c>
      <c r="Q98" s="2" t="s">
        <v>1064</v>
      </c>
      <c r="R98" s="2" t="s">
        <v>1065</v>
      </c>
      <c r="S98" s="2" t="s">
        <v>1066</v>
      </c>
      <c r="T98" s="2" t="s">
        <v>262</v>
      </c>
      <c r="U98" s="2"/>
      <c r="V98" s="7" t="s">
        <v>1067</v>
      </c>
    </row>
    <row r="99" customFormat="false" ht="22.35" hidden="false" customHeight="false" outlineLevel="0" collapsed="false">
      <c r="A99" s="2" t="s">
        <v>1068</v>
      </c>
      <c r="B99" s="2" t="s">
        <v>1069</v>
      </c>
      <c r="C99" s="11" t="s">
        <v>1049</v>
      </c>
      <c r="D99" s="2" t="s">
        <v>1070</v>
      </c>
      <c r="E99" s="2" t="s">
        <v>1051</v>
      </c>
      <c r="F99" s="2" t="s">
        <v>77</v>
      </c>
      <c r="G99" s="2" t="s">
        <v>77</v>
      </c>
      <c r="H99" s="2" t="s">
        <v>1071</v>
      </c>
      <c r="I99" s="2" t="s">
        <v>1053</v>
      </c>
      <c r="J99" s="2" t="s">
        <v>1053</v>
      </c>
      <c r="K99" s="2" t="s">
        <v>81</v>
      </c>
      <c r="L99" s="2" t="s">
        <v>553</v>
      </c>
      <c r="M99" s="2" t="s">
        <v>114</v>
      </c>
      <c r="N99" s="2" t="s">
        <v>381</v>
      </c>
      <c r="O99" s="2" t="s">
        <v>96</v>
      </c>
      <c r="P99" s="2" t="s">
        <v>1053</v>
      </c>
      <c r="Q99" s="2" t="s">
        <v>1072</v>
      </c>
      <c r="R99" s="2"/>
      <c r="S99" s="2"/>
      <c r="T99" s="2" t="s">
        <v>1073</v>
      </c>
      <c r="U99" s="2"/>
      <c r="V99" s="2"/>
    </row>
    <row r="100" customFormat="false" ht="32.8" hidden="false" customHeight="false" outlineLevel="0" collapsed="false">
      <c r="A100" s="2" t="s">
        <v>1074</v>
      </c>
      <c r="B100" s="2" t="s">
        <v>1075</v>
      </c>
      <c r="C100" s="11" t="s">
        <v>1049</v>
      </c>
      <c r="D100" s="2" t="s">
        <v>1076</v>
      </c>
      <c r="E100" s="2" t="s">
        <v>1051</v>
      </c>
      <c r="F100" s="2" t="s">
        <v>77</v>
      </c>
      <c r="G100" s="2" t="s">
        <v>77</v>
      </c>
      <c r="H100" s="2" t="s">
        <v>1062</v>
      </c>
      <c r="I100" s="2" t="s">
        <v>1053</v>
      </c>
      <c r="J100" s="2" t="s">
        <v>1053</v>
      </c>
      <c r="K100" s="2" t="s">
        <v>81</v>
      </c>
      <c r="L100" s="2" t="s">
        <v>1077</v>
      </c>
      <c r="M100" s="2" t="s">
        <v>114</v>
      </c>
      <c r="N100" s="2" t="s">
        <v>381</v>
      </c>
      <c r="O100" s="2" t="s">
        <v>96</v>
      </c>
      <c r="P100" s="2" t="s">
        <v>1053</v>
      </c>
      <c r="Q100" s="2" t="s">
        <v>1078</v>
      </c>
      <c r="R100" s="2" t="s">
        <v>1079</v>
      </c>
      <c r="S100" s="2"/>
      <c r="T100" s="2"/>
      <c r="U100" s="2"/>
      <c r="V100" s="2"/>
    </row>
    <row r="101" customFormat="false" ht="64.15" hidden="false" customHeight="false" outlineLevel="0" collapsed="false">
      <c r="A101" s="2" t="s">
        <v>1080</v>
      </c>
      <c r="B101" s="2" t="s">
        <v>1081</v>
      </c>
      <c r="C101" s="11" t="s">
        <v>1049</v>
      </c>
      <c r="D101" s="2" t="s">
        <v>1082</v>
      </c>
      <c r="E101" s="2" t="s">
        <v>1051</v>
      </c>
      <c r="F101" s="2" t="s">
        <v>77</v>
      </c>
      <c r="G101" s="2" t="s">
        <v>77</v>
      </c>
      <c r="H101" s="2" t="s">
        <v>1083</v>
      </c>
      <c r="I101" s="2" t="s">
        <v>1053</v>
      </c>
      <c r="J101" s="2" t="s">
        <v>1053</v>
      </c>
      <c r="K101" s="2" t="s">
        <v>81</v>
      </c>
      <c r="L101" s="2" t="s">
        <v>553</v>
      </c>
      <c r="M101" s="2" t="s">
        <v>114</v>
      </c>
      <c r="N101" s="2" t="s">
        <v>1084</v>
      </c>
      <c r="O101" s="2" t="s">
        <v>96</v>
      </c>
      <c r="P101" s="2" t="s">
        <v>1053</v>
      </c>
      <c r="Q101" s="2" t="s">
        <v>1085</v>
      </c>
      <c r="R101" s="2" t="s">
        <v>1086</v>
      </c>
      <c r="S101" s="2" t="s">
        <v>1087</v>
      </c>
      <c r="T101" s="2" t="s">
        <v>1088</v>
      </c>
      <c r="U101" s="2"/>
      <c r="V101" s="7" t="s">
        <v>1089</v>
      </c>
    </row>
    <row r="102" customFormat="false" ht="32.8" hidden="false" customHeight="false" outlineLevel="0" collapsed="false">
      <c r="A102" s="2" t="s">
        <v>1090</v>
      </c>
      <c r="B102" s="2" t="s">
        <v>1091</v>
      </c>
      <c r="C102" s="11" t="s">
        <v>1049</v>
      </c>
      <c r="D102" s="2" t="s">
        <v>1092</v>
      </c>
      <c r="E102" s="2" t="s">
        <v>1051</v>
      </c>
      <c r="F102" s="2" t="s">
        <v>77</v>
      </c>
      <c r="G102" s="2" t="s">
        <v>77</v>
      </c>
      <c r="H102" s="2" t="s">
        <v>1071</v>
      </c>
      <c r="I102" s="2" t="s">
        <v>96</v>
      </c>
      <c r="J102" s="2" t="s">
        <v>96</v>
      </c>
      <c r="K102" s="2" t="s">
        <v>81</v>
      </c>
      <c r="L102" s="2" t="s">
        <v>553</v>
      </c>
      <c r="M102" s="2" t="s">
        <v>114</v>
      </c>
      <c r="N102" s="2" t="s">
        <v>381</v>
      </c>
      <c r="O102" s="2" t="s">
        <v>96</v>
      </c>
      <c r="P102" s="2" t="s">
        <v>1053</v>
      </c>
      <c r="Q102" s="2" t="s">
        <v>1093</v>
      </c>
      <c r="R102" s="2" t="s">
        <v>1094</v>
      </c>
      <c r="S102" s="2"/>
      <c r="T102" s="2"/>
      <c r="U102" s="2"/>
      <c r="V102" s="2"/>
    </row>
    <row r="103" customFormat="false" ht="262.65" hidden="false" customHeight="false" outlineLevel="0" collapsed="false">
      <c r="A103" s="2" t="s">
        <v>1095</v>
      </c>
      <c r="B103" s="2" t="s">
        <v>1096</v>
      </c>
      <c r="C103" s="11" t="s">
        <v>1049</v>
      </c>
      <c r="D103" s="2" t="s">
        <v>1097</v>
      </c>
      <c r="E103" s="2" t="s">
        <v>1051</v>
      </c>
      <c r="F103" s="2" t="s">
        <v>77</v>
      </c>
      <c r="G103" s="2" t="s">
        <v>77</v>
      </c>
      <c r="H103" s="2" t="s">
        <v>1083</v>
      </c>
      <c r="I103" s="2" t="s">
        <v>1053</v>
      </c>
      <c r="J103" s="2" t="s">
        <v>1053</v>
      </c>
      <c r="K103" s="2" t="s">
        <v>81</v>
      </c>
      <c r="L103" s="2" t="s">
        <v>1098</v>
      </c>
      <c r="M103" s="2" t="s">
        <v>114</v>
      </c>
      <c r="N103" s="2" t="s">
        <v>381</v>
      </c>
      <c r="O103" s="2" t="s">
        <v>96</v>
      </c>
      <c r="P103" s="2" t="s">
        <v>1099</v>
      </c>
      <c r="Q103" s="2" t="s">
        <v>1100</v>
      </c>
      <c r="R103" s="2" t="s">
        <v>1101</v>
      </c>
      <c r="S103" s="2" t="s">
        <v>1102</v>
      </c>
      <c r="T103" s="2" t="s">
        <v>1103</v>
      </c>
      <c r="U103" s="2"/>
      <c r="V103" s="2"/>
    </row>
    <row r="104" customFormat="false" ht="105.95" hidden="false" customHeight="false" outlineLevel="0" collapsed="false">
      <c r="A104" s="2" t="s">
        <v>1104</v>
      </c>
      <c r="B104" s="2" t="s">
        <v>1105</v>
      </c>
      <c r="C104" s="11" t="s">
        <v>1049</v>
      </c>
      <c r="D104" s="2" t="s">
        <v>1106</v>
      </c>
      <c r="E104" s="2" t="s">
        <v>1051</v>
      </c>
      <c r="F104" s="2" t="s">
        <v>77</v>
      </c>
      <c r="G104" s="2" t="s">
        <v>77</v>
      </c>
      <c r="H104" s="2" t="s">
        <v>1083</v>
      </c>
      <c r="I104" s="2" t="s">
        <v>1053</v>
      </c>
      <c r="J104" s="2" t="s">
        <v>1053</v>
      </c>
      <c r="K104" s="2" t="s">
        <v>81</v>
      </c>
      <c r="L104" s="2" t="s">
        <v>1107</v>
      </c>
      <c r="M104" s="2" t="s">
        <v>114</v>
      </c>
      <c r="N104" s="2" t="s">
        <v>381</v>
      </c>
      <c r="O104" s="2" t="s">
        <v>96</v>
      </c>
      <c r="P104" s="2" t="s">
        <v>1108</v>
      </c>
      <c r="Q104" s="2" t="s">
        <v>1109</v>
      </c>
      <c r="R104" s="2" t="s">
        <v>1110</v>
      </c>
      <c r="S104" s="2" t="s">
        <v>1111</v>
      </c>
      <c r="T104" s="2" t="s">
        <v>1112</v>
      </c>
      <c r="U104" s="2"/>
      <c r="V104" s="2"/>
    </row>
    <row r="105" customFormat="false" ht="53.7" hidden="false" customHeight="false" outlineLevel="0" collapsed="false">
      <c r="A105" s="2" t="s">
        <v>1113</v>
      </c>
      <c r="B105" s="2" t="s">
        <v>1114</v>
      </c>
      <c r="C105" s="11" t="s">
        <v>1049</v>
      </c>
      <c r="D105" s="2" t="s">
        <v>1115</v>
      </c>
      <c r="E105" s="2" t="s">
        <v>1051</v>
      </c>
      <c r="F105" s="2" t="s">
        <v>77</v>
      </c>
      <c r="G105" s="2" t="s">
        <v>77</v>
      </c>
      <c r="H105" s="2" t="s">
        <v>1071</v>
      </c>
      <c r="I105" s="2" t="s">
        <v>492</v>
      </c>
      <c r="J105" s="2" t="s">
        <v>1116</v>
      </c>
      <c r="K105" s="2" t="s">
        <v>81</v>
      </c>
      <c r="L105" s="2" t="s">
        <v>553</v>
      </c>
      <c r="M105" s="2" t="s">
        <v>114</v>
      </c>
      <c r="N105" s="2" t="s">
        <v>1117</v>
      </c>
      <c r="O105" s="2" t="s">
        <v>96</v>
      </c>
      <c r="P105" s="2" t="s">
        <v>1053</v>
      </c>
      <c r="Q105" s="2" t="s">
        <v>1118</v>
      </c>
      <c r="R105" s="2" t="s">
        <v>1119</v>
      </c>
      <c r="S105" s="2" t="s">
        <v>1120</v>
      </c>
      <c r="T105" s="2"/>
      <c r="U105" s="2"/>
      <c r="V105" s="2"/>
    </row>
    <row r="106" customFormat="false" ht="95.5" hidden="false" customHeight="false" outlineLevel="0" collapsed="false">
      <c r="A106" s="2" t="s">
        <v>1121</v>
      </c>
      <c r="B106" s="2" t="s">
        <v>1122</v>
      </c>
      <c r="C106" s="11" t="s">
        <v>1049</v>
      </c>
      <c r="D106" s="2" t="s">
        <v>1123</v>
      </c>
      <c r="E106" s="2" t="s">
        <v>1051</v>
      </c>
      <c r="F106" s="2" t="s">
        <v>77</v>
      </c>
      <c r="G106" s="2" t="s">
        <v>77</v>
      </c>
      <c r="H106" s="2" t="s">
        <v>1071</v>
      </c>
      <c r="I106" s="2" t="s">
        <v>96</v>
      </c>
      <c r="J106" s="2" t="s">
        <v>1124</v>
      </c>
      <c r="K106" s="2" t="s">
        <v>81</v>
      </c>
      <c r="L106" s="2" t="s">
        <v>553</v>
      </c>
      <c r="M106" s="2" t="s">
        <v>114</v>
      </c>
      <c r="N106" s="2" t="s">
        <v>1125</v>
      </c>
      <c r="O106" s="2" t="s">
        <v>96</v>
      </c>
      <c r="P106" s="2" t="s">
        <v>1053</v>
      </c>
      <c r="Q106" s="2" t="s">
        <v>1126</v>
      </c>
      <c r="R106" s="2" t="s">
        <v>1127</v>
      </c>
      <c r="S106" s="2" t="s">
        <v>1128</v>
      </c>
      <c r="T106" s="2" t="s">
        <v>1129</v>
      </c>
      <c r="U106" s="2"/>
      <c r="V106" s="2"/>
    </row>
    <row r="107" customFormat="false" ht="32.8" hidden="false" customHeight="false" outlineLevel="0" collapsed="false">
      <c r="A107" s="2" t="s">
        <v>1130</v>
      </c>
      <c r="B107" s="2" t="s">
        <v>1131</v>
      </c>
      <c r="C107" s="11" t="s">
        <v>1049</v>
      </c>
      <c r="D107" s="2" t="s">
        <v>1132</v>
      </c>
      <c r="E107" s="2" t="s">
        <v>1051</v>
      </c>
      <c r="F107" s="2" t="s">
        <v>77</v>
      </c>
      <c r="G107" s="2" t="s">
        <v>77</v>
      </c>
      <c r="H107" s="2" t="s">
        <v>1062</v>
      </c>
      <c r="I107" s="2" t="s">
        <v>1053</v>
      </c>
      <c r="J107" s="2" t="s">
        <v>1053</v>
      </c>
      <c r="K107" s="2" t="s">
        <v>81</v>
      </c>
      <c r="L107" s="2" t="s">
        <v>553</v>
      </c>
      <c r="M107" s="2" t="s">
        <v>114</v>
      </c>
      <c r="N107" s="2" t="s">
        <v>381</v>
      </c>
      <c r="O107" s="2" t="s">
        <v>96</v>
      </c>
      <c r="P107" s="2" t="s">
        <v>1053</v>
      </c>
      <c r="Q107" s="2" t="s">
        <v>1133</v>
      </c>
      <c r="R107" s="2"/>
      <c r="S107" s="2" t="s">
        <v>1134</v>
      </c>
      <c r="T107" s="2" t="s">
        <v>1073</v>
      </c>
      <c r="U107" s="2"/>
      <c r="V107" s="2"/>
    </row>
    <row r="108" customFormat="false" ht="43.25" hidden="false" customHeight="false" outlineLevel="0" collapsed="false">
      <c r="A108" s="2" t="s">
        <v>1135</v>
      </c>
      <c r="B108" s="2" t="s">
        <v>1136</v>
      </c>
      <c r="C108" s="11" t="s">
        <v>1049</v>
      </c>
      <c r="D108" s="2" t="s">
        <v>1137</v>
      </c>
      <c r="E108" s="2" t="s">
        <v>1051</v>
      </c>
      <c r="F108" s="2" t="s">
        <v>77</v>
      </c>
      <c r="G108" s="2" t="s">
        <v>77</v>
      </c>
      <c r="H108" s="2" t="s">
        <v>1138</v>
      </c>
      <c r="I108" s="2" t="s">
        <v>1053</v>
      </c>
      <c r="J108" s="2" t="s">
        <v>1053</v>
      </c>
      <c r="K108" s="2" t="s">
        <v>81</v>
      </c>
      <c r="L108" s="2" t="s">
        <v>553</v>
      </c>
      <c r="M108" s="2" t="s">
        <v>114</v>
      </c>
      <c r="N108" s="2" t="s">
        <v>1139</v>
      </c>
      <c r="O108" s="2" t="s">
        <v>96</v>
      </c>
      <c r="P108" s="2" t="s">
        <v>1140</v>
      </c>
      <c r="Q108" s="2" t="s">
        <v>1141</v>
      </c>
      <c r="R108" s="2" t="s">
        <v>1142</v>
      </c>
      <c r="S108" s="2"/>
      <c r="T108" s="2" t="s">
        <v>584</v>
      </c>
      <c r="U108" s="2"/>
      <c r="V108" s="2"/>
    </row>
    <row r="109" customFormat="false" ht="22.35" hidden="false" customHeight="false" outlineLevel="0" collapsed="false">
      <c r="A109" s="2" t="s">
        <v>1143</v>
      </c>
      <c r="B109" s="2" t="s">
        <v>1144</v>
      </c>
      <c r="C109" s="11" t="s">
        <v>1049</v>
      </c>
      <c r="D109" s="2" t="s">
        <v>1145</v>
      </c>
      <c r="E109" s="2" t="s">
        <v>1051</v>
      </c>
      <c r="F109" s="2" t="s">
        <v>77</v>
      </c>
      <c r="G109" s="2" t="s">
        <v>77</v>
      </c>
      <c r="H109" s="2" t="s">
        <v>1138</v>
      </c>
      <c r="I109" s="2" t="s">
        <v>1053</v>
      </c>
      <c r="J109" s="2" t="s">
        <v>1053</v>
      </c>
      <c r="K109" s="2" t="s">
        <v>81</v>
      </c>
      <c r="L109" s="2" t="s">
        <v>553</v>
      </c>
      <c r="M109" s="2" t="s">
        <v>114</v>
      </c>
      <c r="N109" s="2" t="s">
        <v>1146</v>
      </c>
      <c r="O109" s="2" t="s">
        <v>96</v>
      </c>
      <c r="P109" s="2" t="s">
        <v>1053</v>
      </c>
      <c r="Q109" s="2" t="s">
        <v>1147</v>
      </c>
      <c r="R109" s="2" t="s">
        <v>1148</v>
      </c>
      <c r="S109" s="2"/>
      <c r="T109" s="2" t="s">
        <v>1149</v>
      </c>
      <c r="U109" s="2"/>
      <c r="V109" s="2"/>
    </row>
    <row r="110" customFormat="false" ht="64.15" hidden="false" customHeight="false" outlineLevel="0" collapsed="false">
      <c r="A110" s="2" t="s">
        <v>1150</v>
      </c>
      <c r="B110" s="2" t="s">
        <v>1151</v>
      </c>
      <c r="C110" s="11" t="s">
        <v>1049</v>
      </c>
      <c r="D110" s="2" t="s">
        <v>1152</v>
      </c>
      <c r="E110" s="2" t="s">
        <v>1051</v>
      </c>
      <c r="F110" s="2" t="s">
        <v>77</v>
      </c>
      <c r="G110" s="2" t="s">
        <v>77</v>
      </c>
      <c r="H110" s="2" t="s">
        <v>1083</v>
      </c>
      <c r="I110" s="2" t="s">
        <v>1053</v>
      </c>
      <c r="J110" s="2" t="s">
        <v>1053</v>
      </c>
      <c r="K110" s="2" t="s">
        <v>81</v>
      </c>
      <c r="L110" s="2" t="s">
        <v>553</v>
      </c>
      <c r="M110" s="2" t="s">
        <v>114</v>
      </c>
      <c r="N110" s="2" t="s">
        <v>1153</v>
      </c>
      <c r="O110" s="2" t="s">
        <v>96</v>
      </c>
      <c r="P110" s="2" t="s">
        <v>1053</v>
      </c>
      <c r="Q110" s="2" t="s">
        <v>1154</v>
      </c>
      <c r="R110" s="2" t="s">
        <v>1155</v>
      </c>
      <c r="S110" s="2" t="s">
        <v>1156</v>
      </c>
      <c r="T110" s="2" t="s">
        <v>584</v>
      </c>
      <c r="U110" s="2"/>
      <c r="V110" s="2"/>
    </row>
    <row r="111" customFormat="false" ht="210.4" hidden="false" customHeight="false" outlineLevel="0" collapsed="false">
      <c r="A111" s="2" t="s">
        <v>1157</v>
      </c>
      <c r="B111" s="2" t="s">
        <v>1158</v>
      </c>
      <c r="C111" s="11" t="s">
        <v>1049</v>
      </c>
      <c r="D111" s="2" t="s">
        <v>1159</v>
      </c>
      <c r="E111" s="2" t="s">
        <v>1051</v>
      </c>
      <c r="F111" s="2" t="s">
        <v>77</v>
      </c>
      <c r="G111" s="2" t="s">
        <v>77</v>
      </c>
      <c r="H111" s="2" t="s">
        <v>1083</v>
      </c>
      <c r="I111" s="2" t="s">
        <v>1053</v>
      </c>
      <c r="J111" s="2" t="s">
        <v>1053</v>
      </c>
      <c r="K111" s="2" t="s">
        <v>81</v>
      </c>
      <c r="L111" s="2" t="s">
        <v>1160</v>
      </c>
      <c r="M111" s="2" t="s">
        <v>1053</v>
      </c>
      <c r="N111" s="2" t="s">
        <v>1161</v>
      </c>
      <c r="O111" s="2" t="s">
        <v>96</v>
      </c>
      <c r="P111" s="2" t="s">
        <v>1162</v>
      </c>
      <c r="Q111" s="2" t="s">
        <v>1163</v>
      </c>
      <c r="R111" s="2" t="s">
        <v>1164</v>
      </c>
      <c r="S111" s="2" t="s">
        <v>1165</v>
      </c>
      <c r="T111" s="2" t="s">
        <v>1166</v>
      </c>
      <c r="U111" s="2"/>
      <c r="V111" s="2"/>
    </row>
    <row r="112" customFormat="false" ht="32.8" hidden="false" customHeight="false" outlineLevel="0" collapsed="false">
      <c r="A112" s="2" t="s">
        <v>1167</v>
      </c>
      <c r="B112" s="2" t="s">
        <v>1168</v>
      </c>
      <c r="C112" s="11" t="s">
        <v>1049</v>
      </c>
      <c r="D112" s="2" t="s">
        <v>1169</v>
      </c>
      <c r="E112" s="2" t="s">
        <v>1051</v>
      </c>
      <c r="F112" s="2" t="s">
        <v>77</v>
      </c>
      <c r="G112" s="2" t="s">
        <v>77</v>
      </c>
      <c r="H112" s="2" t="s">
        <v>1071</v>
      </c>
      <c r="I112" s="2" t="s">
        <v>1053</v>
      </c>
      <c r="J112" s="2" t="s">
        <v>1053</v>
      </c>
      <c r="K112" s="2" t="s">
        <v>81</v>
      </c>
      <c r="L112" s="2" t="s">
        <v>553</v>
      </c>
      <c r="M112" s="2" t="s">
        <v>114</v>
      </c>
      <c r="N112" s="2" t="s">
        <v>1170</v>
      </c>
      <c r="O112" s="2" t="s">
        <v>96</v>
      </c>
      <c r="P112" s="2" t="s">
        <v>1053</v>
      </c>
      <c r="Q112" s="2" t="s">
        <v>1171</v>
      </c>
      <c r="R112" s="2" t="s">
        <v>1172</v>
      </c>
      <c r="S112" s="2" t="s">
        <v>1173</v>
      </c>
      <c r="T112" s="2" t="s">
        <v>1174</v>
      </c>
      <c r="U112" s="2"/>
      <c r="V112" s="2"/>
    </row>
    <row r="113" customFormat="false" ht="168.65" hidden="false" customHeight="false" outlineLevel="0" collapsed="false">
      <c r="A113" s="2" t="s">
        <v>1175</v>
      </c>
      <c r="B113" s="2" t="s">
        <v>1176</v>
      </c>
      <c r="C113" s="11" t="s">
        <v>1049</v>
      </c>
      <c r="D113" s="2" t="s">
        <v>1177</v>
      </c>
      <c r="E113" s="2" t="s">
        <v>1051</v>
      </c>
      <c r="F113" s="2" t="s">
        <v>77</v>
      </c>
      <c r="G113" s="2" t="s">
        <v>77</v>
      </c>
      <c r="H113" s="2" t="s">
        <v>1062</v>
      </c>
      <c r="I113" s="2" t="s">
        <v>1053</v>
      </c>
      <c r="J113" s="2" t="s">
        <v>1053</v>
      </c>
      <c r="K113" s="2" t="s">
        <v>1178</v>
      </c>
      <c r="L113" s="2" t="s">
        <v>1179</v>
      </c>
      <c r="M113" s="2" t="s">
        <v>1053</v>
      </c>
      <c r="N113" s="2" t="s">
        <v>1180</v>
      </c>
      <c r="O113" s="2" t="s">
        <v>35</v>
      </c>
      <c r="P113" s="2" t="s">
        <v>1181</v>
      </c>
      <c r="Q113" s="2" t="s">
        <v>1182</v>
      </c>
      <c r="R113" s="2" t="s">
        <v>1183</v>
      </c>
      <c r="S113" s="2"/>
      <c r="T113" s="2"/>
      <c r="U113" s="2" t="s">
        <v>1184</v>
      </c>
      <c r="V113" s="2"/>
    </row>
    <row r="114" customFormat="false" ht="32.8" hidden="false" customHeight="false" outlineLevel="0" collapsed="false">
      <c r="A114" s="2" t="s">
        <v>1185</v>
      </c>
      <c r="B114" s="2" t="s">
        <v>1186</v>
      </c>
      <c r="C114" s="11" t="s">
        <v>1049</v>
      </c>
      <c r="D114" s="2" t="s">
        <v>1145</v>
      </c>
      <c r="E114" s="2" t="s">
        <v>1051</v>
      </c>
      <c r="F114" s="2" t="s">
        <v>77</v>
      </c>
      <c r="G114" s="2" t="s">
        <v>77</v>
      </c>
      <c r="H114" s="2" t="s">
        <v>1138</v>
      </c>
      <c r="I114" s="2" t="s">
        <v>1053</v>
      </c>
      <c r="J114" s="2" t="s">
        <v>1053</v>
      </c>
      <c r="K114" s="2" t="s">
        <v>81</v>
      </c>
      <c r="L114" s="2" t="s">
        <v>553</v>
      </c>
      <c r="M114" s="2" t="s">
        <v>114</v>
      </c>
      <c r="N114" s="2" t="s">
        <v>1187</v>
      </c>
      <c r="O114" s="2" t="s">
        <v>96</v>
      </c>
      <c r="P114" s="2" t="s">
        <v>1053</v>
      </c>
      <c r="Q114" s="2" t="s">
        <v>1188</v>
      </c>
      <c r="R114" s="2" t="s">
        <v>1148</v>
      </c>
      <c r="S114" s="2"/>
      <c r="T114" s="2" t="s">
        <v>1149</v>
      </c>
      <c r="U114" s="2"/>
      <c r="V114" s="2"/>
    </row>
    <row r="115" customFormat="false" ht="22.35" hidden="false" customHeight="false" outlineLevel="0" collapsed="false">
      <c r="A115" s="2" t="s">
        <v>1189</v>
      </c>
      <c r="B115" s="2" t="s">
        <v>1190</v>
      </c>
      <c r="C115" s="11" t="s">
        <v>1049</v>
      </c>
      <c r="D115" s="2" t="s">
        <v>1191</v>
      </c>
      <c r="E115" s="2" t="s">
        <v>1051</v>
      </c>
      <c r="F115" s="2" t="s">
        <v>77</v>
      </c>
      <c r="G115" s="2" t="s">
        <v>77</v>
      </c>
      <c r="H115" s="2" t="s">
        <v>1062</v>
      </c>
      <c r="I115" s="2" t="s">
        <v>1053</v>
      </c>
      <c r="J115" s="2" t="s">
        <v>1053</v>
      </c>
      <c r="K115" s="2" t="s">
        <v>81</v>
      </c>
      <c r="L115" s="2" t="s">
        <v>553</v>
      </c>
      <c r="M115" s="2" t="s">
        <v>114</v>
      </c>
      <c r="N115" s="2" t="s">
        <v>381</v>
      </c>
      <c r="O115" s="2" t="s">
        <v>96</v>
      </c>
      <c r="P115" s="2" t="s">
        <v>1053</v>
      </c>
      <c r="Q115" s="2" t="s">
        <v>1192</v>
      </c>
      <c r="R115" s="2" t="s">
        <v>1193</v>
      </c>
      <c r="S115" s="2" t="s">
        <v>1194</v>
      </c>
      <c r="T115" s="2" t="s">
        <v>1195</v>
      </c>
      <c r="U115" s="2"/>
      <c r="V115" s="2"/>
    </row>
    <row r="116" customFormat="false" ht="53.7" hidden="false" customHeight="false" outlineLevel="0" collapsed="false">
      <c r="A116" s="2" t="s">
        <v>1196</v>
      </c>
      <c r="B116" s="2" t="s">
        <v>1197</v>
      </c>
      <c r="C116" s="11" t="s">
        <v>1049</v>
      </c>
      <c r="D116" s="2" t="s">
        <v>1198</v>
      </c>
      <c r="E116" s="2" t="s">
        <v>1051</v>
      </c>
      <c r="F116" s="2" t="s">
        <v>77</v>
      </c>
      <c r="G116" s="2" t="s">
        <v>77</v>
      </c>
      <c r="H116" s="2" t="s">
        <v>1051</v>
      </c>
      <c r="I116" s="2" t="s">
        <v>1053</v>
      </c>
      <c r="J116" s="2" t="s">
        <v>1053</v>
      </c>
      <c r="K116" s="2" t="s">
        <v>81</v>
      </c>
      <c r="L116" s="2" t="s">
        <v>553</v>
      </c>
      <c r="M116" s="2" t="s">
        <v>114</v>
      </c>
      <c r="N116" s="2" t="s">
        <v>1199</v>
      </c>
      <c r="O116" s="2" t="s">
        <v>96</v>
      </c>
      <c r="P116" s="2" t="s">
        <v>1140</v>
      </c>
      <c r="Q116" s="2" t="s">
        <v>1200</v>
      </c>
      <c r="R116" s="2" t="s">
        <v>1201</v>
      </c>
      <c r="S116" s="2" t="s">
        <v>1202</v>
      </c>
      <c r="T116" s="2" t="s">
        <v>316</v>
      </c>
      <c r="U116" s="2" t="s">
        <v>1203</v>
      </c>
      <c r="V116" s="2"/>
    </row>
    <row r="117" customFormat="false" ht="32.8" hidden="false" customHeight="false" outlineLevel="0" collapsed="false">
      <c r="A117" s="2" t="s">
        <v>1204</v>
      </c>
      <c r="B117" s="2" t="s">
        <v>1205</v>
      </c>
      <c r="C117" s="11" t="s">
        <v>1049</v>
      </c>
      <c r="D117" s="2" t="s">
        <v>1198</v>
      </c>
      <c r="E117" s="2" t="s">
        <v>1051</v>
      </c>
      <c r="F117" s="2" t="s">
        <v>77</v>
      </c>
      <c r="G117" s="2" t="s">
        <v>77</v>
      </c>
      <c r="H117" s="2" t="s">
        <v>1051</v>
      </c>
      <c r="I117" s="2" t="s">
        <v>1053</v>
      </c>
      <c r="J117" s="2" t="s">
        <v>1053</v>
      </c>
      <c r="K117" s="2" t="s">
        <v>81</v>
      </c>
      <c r="L117" s="2" t="s">
        <v>553</v>
      </c>
      <c r="M117" s="2" t="s">
        <v>114</v>
      </c>
      <c r="N117" s="2" t="s">
        <v>1206</v>
      </c>
      <c r="O117" s="2" t="s">
        <v>96</v>
      </c>
      <c r="P117" s="2" t="s">
        <v>1140</v>
      </c>
      <c r="Q117" s="2" t="s">
        <v>1207</v>
      </c>
      <c r="R117" s="2" t="s">
        <v>1208</v>
      </c>
      <c r="S117" s="2"/>
      <c r="T117" s="2" t="s">
        <v>316</v>
      </c>
      <c r="U117" s="2"/>
      <c r="V117" s="2"/>
    </row>
    <row r="118" customFormat="false" ht="32.8" hidden="false" customHeight="false" outlineLevel="0" collapsed="false">
      <c r="A118" s="2" t="s">
        <v>1209</v>
      </c>
      <c r="B118" s="2" t="s">
        <v>1210</v>
      </c>
      <c r="C118" s="11" t="s">
        <v>1049</v>
      </c>
      <c r="D118" s="2" t="s">
        <v>1211</v>
      </c>
      <c r="E118" s="2" t="s">
        <v>1051</v>
      </c>
      <c r="F118" s="2" t="s">
        <v>77</v>
      </c>
      <c r="G118" s="2" t="s">
        <v>77</v>
      </c>
      <c r="H118" s="2" t="s">
        <v>1051</v>
      </c>
      <c r="I118" s="2" t="s">
        <v>1053</v>
      </c>
      <c r="J118" s="2" t="s">
        <v>1053</v>
      </c>
      <c r="K118" s="2" t="s">
        <v>81</v>
      </c>
      <c r="L118" s="2" t="s">
        <v>553</v>
      </c>
      <c r="M118" s="2" t="s">
        <v>114</v>
      </c>
      <c r="N118" s="2" t="s">
        <v>1212</v>
      </c>
      <c r="O118" s="2" t="s">
        <v>96</v>
      </c>
      <c r="P118" s="2" t="s">
        <v>1140</v>
      </c>
      <c r="Q118" s="2" t="s">
        <v>1213</v>
      </c>
      <c r="R118" s="2" t="s">
        <v>1214</v>
      </c>
      <c r="S118" s="2" t="s">
        <v>1215</v>
      </c>
      <c r="T118" s="2" t="s">
        <v>316</v>
      </c>
      <c r="U118" s="2"/>
      <c r="V118" s="2"/>
    </row>
    <row r="119" customFormat="false" ht="95.5" hidden="false" customHeight="false" outlineLevel="0" collapsed="false">
      <c r="A119" s="2" t="s">
        <v>1216</v>
      </c>
      <c r="B119" s="2" t="s">
        <v>1217</v>
      </c>
      <c r="C119" s="11" t="s">
        <v>1049</v>
      </c>
      <c r="D119" s="2" t="s">
        <v>1218</v>
      </c>
      <c r="E119" s="2" t="s">
        <v>1051</v>
      </c>
      <c r="F119" s="4" t="s">
        <v>27</v>
      </c>
      <c r="G119" s="2" t="s">
        <v>77</v>
      </c>
      <c r="H119" s="2" t="s">
        <v>1219</v>
      </c>
      <c r="I119" s="2" t="s">
        <v>1053</v>
      </c>
      <c r="J119" s="2" t="s">
        <v>1220</v>
      </c>
      <c r="K119" s="2" t="s">
        <v>81</v>
      </c>
      <c r="L119" s="2" t="s">
        <v>1221</v>
      </c>
      <c r="M119" s="2" t="s">
        <v>1053</v>
      </c>
      <c r="N119" s="2" t="s">
        <v>1222</v>
      </c>
      <c r="O119" s="2" t="s">
        <v>35</v>
      </c>
      <c r="P119" s="2" t="s">
        <v>1223</v>
      </c>
      <c r="Q119" s="2" t="s">
        <v>1224</v>
      </c>
      <c r="R119" s="2" t="s">
        <v>1225</v>
      </c>
      <c r="S119" s="2" t="s">
        <v>1226</v>
      </c>
      <c r="T119" s="2"/>
      <c r="U119" s="2" t="s">
        <v>1227</v>
      </c>
      <c r="V119" s="2"/>
    </row>
    <row r="120" customFormat="false" ht="43.25" hidden="false" customHeight="false" outlineLevel="0" collapsed="false">
      <c r="A120" s="2" t="s">
        <v>1228</v>
      </c>
      <c r="B120" s="2" t="s">
        <v>1229</v>
      </c>
      <c r="C120" s="11" t="s">
        <v>1049</v>
      </c>
      <c r="D120" s="2" t="s">
        <v>1230</v>
      </c>
      <c r="E120" s="2" t="s">
        <v>1051</v>
      </c>
      <c r="F120" s="2" t="s">
        <v>77</v>
      </c>
      <c r="G120" s="2" t="s">
        <v>77</v>
      </c>
      <c r="H120" s="2" t="s">
        <v>1138</v>
      </c>
      <c r="I120" s="2" t="s">
        <v>1053</v>
      </c>
      <c r="J120" s="2" t="s">
        <v>1053</v>
      </c>
      <c r="K120" s="2" t="s">
        <v>81</v>
      </c>
      <c r="L120" s="2" t="s">
        <v>553</v>
      </c>
      <c r="M120" s="2" t="s">
        <v>114</v>
      </c>
      <c r="N120" s="2" t="s">
        <v>381</v>
      </c>
      <c r="O120" s="2" t="s">
        <v>96</v>
      </c>
      <c r="P120" s="2" t="s">
        <v>1053</v>
      </c>
      <c r="Q120" s="2" t="s">
        <v>1231</v>
      </c>
      <c r="R120" s="2" t="s">
        <v>1232</v>
      </c>
      <c r="S120" s="2" t="s">
        <v>1233</v>
      </c>
      <c r="T120" s="2" t="s">
        <v>1234</v>
      </c>
      <c r="U120" s="2"/>
      <c r="V120" s="2"/>
    </row>
    <row r="121" customFormat="false" ht="32.8" hidden="false" customHeight="false" outlineLevel="0" collapsed="false">
      <c r="A121" s="2" t="s">
        <v>1235</v>
      </c>
      <c r="B121" s="2" t="s">
        <v>1236</v>
      </c>
      <c r="C121" s="11" t="s">
        <v>1049</v>
      </c>
      <c r="D121" s="2" t="s">
        <v>1237</v>
      </c>
      <c r="E121" s="2" t="s">
        <v>1051</v>
      </c>
      <c r="F121" s="2" t="s">
        <v>77</v>
      </c>
      <c r="G121" s="2" t="s">
        <v>77</v>
      </c>
      <c r="H121" s="2" t="s">
        <v>1062</v>
      </c>
      <c r="I121" s="2" t="s">
        <v>1053</v>
      </c>
      <c r="J121" s="2" t="s">
        <v>1053</v>
      </c>
      <c r="K121" s="2" t="s">
        <v>81</v>
      </c>
      <c r="L121" s="2" t="s">
        <v>553</v>
      </c>
      <c r="M121" s="2" t="s">
        <v>114</v>
      </c>
      <c r="N121" s="2" t="s">
        <v>381</v>
      </c>
      <c r="O121" s="2" t="s">
        <v>96</v>
      </c>
      <c r="P121" s="2" t="s">
        <v>1053</v>
      </c>
      <c r="Q121" s="2" t="s">
        <v>1238</v>
      </c>
      <c r="R121" s="2" t="s">
        <v>1239</v>
      </c>
      <c r="S121" s="2" t="s">
        <v>1240</v>
      </c>
      <c r="T121" s="2" t="s">
        <v>1241</v>
      </c>
      <c r="U121" s="2"/>
      <c r="V121" s="2"/>
    </row>
    <row r="122" customFormat="false" ht="74.6" hidden="false" customHeight="false" outlineLevel="0" collapsed="false">
      <c r="A122" s="2" t="s">
        <v>1242</v>
      </c>
      <c r="B122" s="2" t="s">
        <v>1243</v>
      </c>
      <c r="C122" s="11" t="s">
        <v>1049</v>
      </c>
      <c r="D122" s="2" t="s">
        <v>1244</v>
      </c>
      <c r="E122" s="2" t="s">
        <v>1051</v>
      </c>
      <c r="F122" s="2" t="s">
        <v>77</v>
      </c>
      <c r="G122" s="2" t="s">
        <v>77</v>
      </c>
      <c r="H122" s="2" t="s">
        <v>1062</v>
      </c>
      <c r="I122" s="2" t="s">
        <v>1053</v>
      </c>
      <c r="J122" s="2" t="s">
        <v>1053</v>
      </c>
      <c r="K122" s="2" t="s">
        <v>81</v>
      </c>
      <c r="L122" s="2" t="s">
        <v>1245</v>
      </c>
      <c r="M122" s="2" t="s">
        <v>114</v>
      </c>
      <c r="N122" s="2" t="s">
        <v>1246</v>
      </c>
      <c r="O122" s="2" t="s">
        <v>96</v>
      </c>
      <c r="P122" s="2" t="s">
        <v>1053</v>
      </c>
      <c r="Q122" s="2" t="s">
        <v>1247</v>
      </c>
      <c r="R122" s="2" t="s">
        <v>1248</v>
      </c>
      <c r="S122" s="2"/>
      <c r="T122" s="2" t="s">
        <v>1249</v>
      </c>
      <c r="U122" s="2"/>
      <c r="V122" s="2"/>
    </row>
    <row r="123" customFormat="false" ht="252.2" hidden="false" customHeight="false" outlineLevel="0" collapsed="false">
      <c r="A123" s="2" t="s">
        <v>1250</v>
      </c>
      <c r="B123" s="2" t="s">
        <v>1251</v>
      </c>
      <c r="C123" s="11" t="s">
        <v>1049</v>
      </c>
      <c r="D123" s="2" t="s">
        <v>1252</v>
      </c>
      <c r="E123" s="2" t="s">
        <v>1051</v>
      </c>
      <c r="F123" s="2" t="s">
        <v>77</v>
      </c>
      <c r="G123" s="2" t="s">
        <v>77</v>
      </c>
      <c r="H123" s="2" t="s">
        <v>1083</v>
      </c>
      <c r="I123" s="2" t="s">
        <v>1053</v>
      </c>
      <c r="J123" s="2" t="s">
        <v>1053</v>
      </c>
      <c r="K123" s="2" t="s">
        <v>81</v>
      </c>
      <c r="L123" s="2" t="s">
        <v>1253</v>
      </c>
      <c r="M123" s="2" t="s">
        <v>1053</v>
      </c>
      <c r="N123" s="2" t="s">
        <v>1254</v>
      </c>
      <c r="O123" s="2" t="s">
        <v>96</v>
      </c>
      <c r="P123" s="2" t="s">
        <v>1255</v>
      </c>
      <c r="Q123" s="2" t="s">
        <v>1256</v>
      </c>
      <c r="R123" s="2" t="s">
        <v>1257</v>
      </c>
      <c r="S123" s="2" t="s">
        <v>1258</v>
      </c>
      <c r="T123" s="2" t="s">
        <v>1259</v>
      </c>
      <c r="U123" s="2" t="s">
        <v>1260</v>
      </c>
      <c r="V123" s="7" t="s">
        <v>1261</v>
      </c>
    </row>
    <row r="124" customFormat="false" ht="74.6" hidden="false" customHeight="false" outlineLevel="0" collapsed="false">
      <c r="A124" s="2" t="s">
        <v>1262</v>
      </c>
      <c r="B124" s="2" t="s">
        <v>1263</v>
      </c>
      <c r="C124" s="11" t="s">
        <v>1049</v>
      </c>
      <c r="D124" s="2" t="s">
        <v>1264</v>
      </c>
      <c r="E124" s="2" t="s">
        <v>1051</v>
      </c>
      <c r="F124" s="2" t="s">
        <v>77</v>
      </c>
      <c r="G124" s="2" t="s">
        <v>77</v>
      </c>
      <c r="H124" s="2" t="s">
        <v>1062</v>
      </c>
      <c r="I124" s="2" t="s">
        <v>1053</v>
      </c>
      <c r="J124" s="2" t="s">
        <v>1053</v>
      </c>
      <c r="K124" s="2" t="s">
        <v>81</v>
      </c>
      <c r="L124" s="2" t="s">
        <v>553</v>
      </c>
      <c r="M124" s="2" t="s">
        <v>114</v>
      </c>
      <c r="N124" s="2" t="s">
        <v>1265</v>
      </c>
      <c r="O124" s="2" t="s">
        <v>96</v>
      </c>
      <c r="P124" s="2" t="s">
        <v>1266</v>
      </c>
      <c r="Q124" s="2" t="s">
        <v>1267</v>
      </c>
      <c r="R124" s="2" t="s">
        <v>1268</v>
      </c>
      <c r="S124" s="2" t="s">
        <v>1269</v>
      </c>
      <c r="T124" s="2" t="s">
        <v>1270</v>
      </c>
      <c r="U124" s="2"/>
      <c r="V124" s="2"/>
    </row>
    <row r="125" customFormat="false" ht="147.75" hidden="false" customHeight="false" outlineLevel="0" collapsed="false">
      <c r="A125" s="2" t="s">
        <v>1271</v>
      </c>
      <c r="B125" s="2" t="s">
        <v>1272</v>
      </c>
      <c r="C125" s="11" t="s">
        <v>1049</v>
      </c>
      <c r="D125" s="2" t="s">
        <v>1273</v>
      </c>
      <c r="E125" s="2" t="s">
        <v>1051</v>
      </c>
      <c r="F125" s="2" t="s">
        <v>77</v>
      </c>
      <c r="G125" s="2" t="s">
        <v>77</v>
      </c>
      <c r="H125" s="2" t="s">
        <v>1083</v>
      </c>
      <c r="I125" s="2" t="s">
        <v>1053</v>
      </c>
      <c r="J125" s="2" t="s">
        <v>1053</v>
      </c>
      <c r="K125" s="2" t="s">
        <v>81</v>
      </c>
      <c r="L125" s="2" t="s">
        <v>553</v>
      </c>
      <c r="M125" s="2" t="s">
        <v>114</v>
      </c>
      <c r="N125" s="2" t="s">
        <v>1274</v>
      </c>
      <c r="O125" s="2" t="s">
        <v>96</v>
      </c>
      <c r="P125" s="2" t="s">
        <v>1266</v>
      </c>
      <c r="Q125" s="2" t="s">
        <v>1275</v>
      </c>
      <c r="R125" s="2" t="s">
        <v>1276</v>
      </c>
      <c r="S125" s="2" t="s">
        <v>1277</v>
      </c>
      <c r="T125" s="2" t="s">
        <v>1278</v>
      </c>
      <c r="U125" s="2"/>
      <c r="V125" s="2"/>
    </row>
    <row r="126" customFormat="false" ht="116.4" hidden="false" customHeight="false" outlineLevel="0" collapsed="false">
      <c r="A126" s="2" t="s">
        <v>1279</v>
      </c>
      <c r="B126" s="2" t="s">
        <v>1280</v>
      </c>
      <c r="C126" s="11" t="s">
        <v>1049</v>
      </c>
      <c r="D126" s="2" t="s">
        <v>1281</v>
      </c>
      <c r="E126" s="2" t="s">
        <v>1051</v>
      </c>
      <c r="F126" s="2" t="s">
        <v>77</v>
      </c>
      <c r="G126" s="2" t="s">
        <v>77</v>
      </c>
      <c r="H126" s="2" t="s">
        <v>1062</v>
      </c>
      <c r="I126" s="2" t="s">
        <v>1053</v>
      </c>
      <c r="J126" s="2" t="s">
        <v>1053</v>
      </c>
      <c r="K126" s="2" t="s">
        <v>1178</v>
      </c>
      <c r="L126" s="2" t="s">
        <v>1282</v>
      </c>
      <c r="M126" s="2" t="s">
        <v>1053</v>
      </c>
      <c r="N126" s="2" t="s">
        <v>1283</v>
      </c>
      <c r="O126" s="2" t="s">
        <v>35</v>
      </c>
      <c r="P126" s="2" t="s">
        <v>1181</v>
      </c>
      <c r="Q126" s="2" t="s">
        <v>1284</v>
      </c>
      <c r="R126" s="2" t="s">
        <v>1285</v>
      </c>
      <c r="S126" s="2" t="s">
        <v>1286</v>
      </c>
      <c r="T126" s="2" t="s">
        <v>1287</v>
      </c>
      <c r="U126" s="2" t="s">
        <v>1288</v>
      </c>
      <c r="V126" s="2"/>
    </row>
    <row r="127" customFormat="false" ht="64.15" hidden="false" customHeight="false" outlineLevel="0" collapsed="false">
      <c r="A127" s="2" t="s">
        <v>1289</v>
      </c>
      <c r="B127" s="2" t="s">
        <v>1290</v>
      </c>
      <c r="C127" s="11" t="s">
        <v>1049</v>
      </c>
      <c r="D127" s="2" t="s">
        <v>1291</v>
      </c>
      <c r="E127" s="2" t="s">
        <v>1051</v>
      </c>
      <c r="F127" s="2" t="s">
        <v>77</v>
      </c>
      <c r="G127" s="2" t="s">
        <v>77</v>
      </c>
      <c r="H127" s="2" t="s">
        <v>1071</v>
      </c>
      <c r="I127" s="2" t="s">
        <v>1053</v>
      </c>
      <c r="J127" s="2" t="s">
        <v>1053</v>
      </c>
      <c r="K127" s="2" t="s">
        <v>81</v>
      </c>
      <c r="L127" s="2" t="s">
        <v>553</v>
      </c>
      <c r="M127" s="2" t="s">
        <v>114</v>
      </c>
      <c r="N127" s="2" t="s">
        <v>1292</v>
      </c>
      <c r="O127" s="2" t="s">
        <v>96</v>
      </c>
      <c r="P127" s="2" t="s">
        <v>1293</v>
      </c>
      <c r="Q127" s="2" t="s">
        <v>1294</v>
      </c>
      <c r="R127" s="2" t="s">
        <v>1295</v>
      </c>
      <c r="S127" s="2" t="s">
        <v>1296</v>
      </c>
      <c r="T127" s="2" t="s">
        <v>513</v>
      </c>
      <c r="U127" s="2"/>
      <c r="V127" s="2"/>
    </row>
    <row r="128" customFormat="false" ht="32.8" hidden="false" customHeight="false" outlineLevel="0" collapsed="false">
      <c r="A128" s="2" t="s">
        <v>1297</v>
      </c>
      <c r="B128" s="2" t="s">
        <v>1298</v>
      </c>
      <c r="C128" s="11" t="s">
        <v>1049</v>
      </c>
      <c r="D128" s="2" t="s">
        <v>1299</v>
      </c>
      <c r="E128" s="2" t="s">
        <v>1051</v>
      </c>
      <c r="F128" s="2" t="s">
        <v>77</v>
      </c>
      <c r="G128" s="2" t="s">
        <v>77</v>
      </c>
      <c r="H128" s="2" t="s">
        <v>1051</v>
      </c>
      <c r="I128" s="2" t="s">
        <v>1053</v>
      </c>
      <c r="J128" s="2" t="s">
        <v>1053</v>
      </c>
      <c r="K128" s="2" t="s">
        <v>81</v>
      </c>
      <c r="L128" s="2" t="s">
        <v>553</v>
      </c>
      <c r="M128" s="2" t="s">
        <v>114</v>
      </c>
      <c r="N128" s="2" t="s">
        <v>1300</v>
      </c>
      <c r="O128" s="2" t="s">
        <v>96</v>
      </c>
      <c r="P128" s="2" t="s">
        <v>1293</v>
      </c>
      <c r="Q128" s="2" t="s">
        <v>1301</v>
      </c>
      <c r="R128" s="2" t="s">
        <v>1302</v>
      </c>
      <c r="S128" s="2" t="s">
        <v>1303</v>
      </c>
      <c r="T128" s="2" t="s">
        <v>513</v>
      </c>
      <c r="U128" s="2"/>
      <c r="V128" s="2"/>
    </row>
    <row r="129" customFormat="false" ht="53.7" hidden="false" customHeight="false" outlineLevel="0" collapsed="false">
      <c r="A129" s="2" t="s">
        <v>1304</v>
      </c>
      <c r="B129" s="2" t="s">
        <v>1305</v>
      </c>
      <c r="C129" s="11" t="s">
        <v>1049</v>
      </c>
      <c r="D129" s="2" t="s">
        <v>1306</v>
      </c>
      <c r="E129" s="2" t="s">
        <v>1051</v>
      </c>
      <c r="F129" s="2" t="s">
        <v>77</v>
      </c>
      <c r="G129" s="2" t="s">
        <v>77</v>
      </c>
      <c r="H129" s="2" t="s">
        <v>1071</v>
      </c>
      <c r="I129" s="2" t="s">
        <v>1053</v>
      </c>
      <c r="J129" s="2" t="s">
        <v>1053</v>
      </c>
      <c r="K129" s="2" t="s">
        <v>81</v>
      </c>
      <c r="L129" s="2" t="s">
        <v>553</v>
      </c>
      <c r="M129" s="2" t="s">
        <v>114</v>
      </c>
      <c r="N129" s="2" t="s">
        <v>1307</v>
      </c>
      <c r="O129" s="2" t="s">
        <v>96</v>
      </c>
      <c r="P129" s="2" t="s">
        <v>1053</v>
      </c>
      <c r="Q129" s="2" t="s">
        <v>1308</v>
      </c>
      <c r="R129" s="2" t="s">
        <v>1309</v>
      </c>
      <c r="S129" s="2" t="s">
        <v>1310</v>
      </c>
      <c r="T129" s="2" t="s">
        <v>513</v>
      </c>
      <c r="U129" s="2"/>
      <c r="V129" s="2"/>
    </row>
    <row r="130" customFormat="false" ht="32.8" hidden="false" customHeight="false" outlineLevel="0" collapsed="false">
      <c r="A130" s="2" t="s">
        <v>1311</v>
      </c>
      <c r="B130" s="2" t="s">
        <v>1312</v>
      </c>
      <c r="C130" s="11" t="s">
        <v>1049</v>
      </c>
      <c r="D130" s="2" t="s">
        <v>1313</v>
      </c>
      <c r="E130" s="2" t="s">
        <v>1051</v>
      </c>
      <c r="F130" s="2" t="s">
        <v>77</v>
      </c>
      <c r="G130" s="2" t="s">
        <v>77</v>
      </c>
      <c r="H130" s="2" t="s">
        <v>1071</v>
      </c>
      <c r="I130" s="2" t="s">
        <v>1053</v>
      </c>
      <c r="J130" s="2" t="s">
        <v>1053</v>
      </c>
      <c r="K130" s="2" t="s">
        <v>81</v>
      </c>
      <c r="L130" s="2" t="s">
        <v>553</v>
      </c>
      <c r="M130" s="2" t="s">
        <v>114</v>
      </c>
      <c r="N130" s="2" t="s">
        <v>1314</v>
      </c>
      <c r="O130" s="2" t="s">
        <v>96</v>
      </c>
      <c r="P130" s="2" t="s">
        <v>1293</v>
      </c>
      <c r="Q130" s="2" t="s">
        <v>1315</v>
      </c>
      <c r="R130" s="2" t="s">
        <v>1316</v>
      </c>
      <c r="S130" s="2" t="s">
        <v>1317</v>
      </c>
      <c r="T130" s="2" t="s">
        <v>513</v>
      </c>
      <c r="U130" s="2"/>
      <c r="V130" s="2"/>
    </row>
    <row r="131" customFormat="false" ht="64.15" hidden="false" customHeight="false" outlineLevel="0" collapsed="false">
      <c r="A131" s="2" t="s">
        <v>1318</v>
      </c>
      <c r="B131" s="2" t="s">
        <v>1319</v>
      </c>
      <c r="C131" s="11" t="s">
        <v>1049</v>
      </c>
      <c r="D131" s="2" t="s">
        <v>1320</v>
      </c>
      <c r="E131" s="2" t="s">
        <v>1051</v>
      </c>
      <c r="F131" s="2" t="s">
        <v>77</v>
      </c>
      <c r="G131" s="2" t="s">
        <v>77</v>
      </c>
      <c r="H131" s="2" t="s">
        <v>1071</v>
      </c>
      <c r="I131" s="2" t="s">
        <v>1053</v>
      </c>
      <c r="J131" s="2" t="s">
        <v>1053</v>
      </c>
      <c r="K131" s="2" t="s">
        <v>81</v>
      </c>
      <c r="L131" s="2" t="s">
        <v>553</v>
      </c>
      <c r="M131" s="2" t="s">
        <v>114</v>
      </c>
      <c r="N131" s="2" t="s">
        <v>1314</v>
      </c>
      <c r="O131" s="2" t="s">
        <v>96</v>
      </c>
      <c r="P131" s="2" t="s">
        <v>1293</v>
      </c>
      <c r="Q131" s="2" t="s">
        <v>1321</v>
      </c>
      <c r="R131" s="2" t="s">
        <v>1322</v>
      </c>
      <c r="S131" s="2" t="s">
        <v>1323</v>
      </c>
      <c r="T131" s="2" t="s">
        <v>513</v>
      </c>
      <c r="U131" s="2"/>
      <c r="V131" s="2"/>
    </row>
    <row r="132" customFormat="false" ht="22.35" hidden="false" customHeight="false" outlineLevel="0" collapsed="false">
      <c r="A132" s="2" t="s">
        <v>1324</v>
      </c>
      <c r="B132" s="2" t="s">
        <v>1325</v>
      </c>
      <c r="C132" s="11" t="s">
        <v>1049</v>
      </c>
      <c r="D132" s="2" t="s">
        <v>1326</v>
      </c>
      <c r="E132" s="2" t="s">
        <v>1051</v>
      </c>
      <c r="F132" s="2" t="s">
        <v>77</v>
      </c>
      <c r="G132" s="2" t="s">
        <v>77</v>
      </c>
      <c r="H132" s="2" t="s">
        <v>1051</v>
      </c>
      <c r="I132" s="2" t="s">
        <v>1053</v>
      </c>
      <c r="J132" s="2" t="s">
        <v>1053</v>
      </c>
      <c r="K132" s="2" t="s">
        <v>81</v>
      </c>
      <c r="L132" s="2" t="s">
        <v>553</v>
      </c>
      <c r="M132" s="2" t="s">
        <v>114</v>
      </c>
      <c r="N132" s="2" t="s">
        <v>1327</v>
      </c>
      <c r="O132" s="2" t="s">
        <v>96</v>
      </c>
      <c r="P132" s="2" t="s">
        <v>1293</v>
      </c>
      <c r="Q132" s="2" t="s">
        <v>1328</v>
      </c>
      <c r="R132" s="2" t="s">
        <v>1329</v>
      </c>
      <c r="S132" s="2" t="s">
        <v>1330</v>
      </c>
      <c r="T132" s="2" t="s">
        <v>513</v>
      </c>
      <c r="U132" s="2"/>
      <c r="V132" s="2"/>
    </row>
    <row r="133" customFormat="false" ht="43.25" hidden="false" customHeight="false" outlineLevel="0" collapsed="false">
      <c r="A133" s="2" t="s">
        <v>1331</v>
      </c>
      <c r="B133" s="2" t="s">
        <v>1332</v>
      </c>
      <c r="C133" s="11" t="s">
        <v>1049</v>
      </c>
      <c r="D133" s="2" t="s">
        <v>1320</v>
      </c>
      <c r="E133" s="2" t="s">
        <v>1051</v>
      </c>
      <c r="F133" s="2" t="s">
        <v>77</v>
      </c>
      <c r="G133" s="2" t="s">
        <v>77</v>
      </c>
      <c r="H133" s="2" t="s">
        <v>1071</v>
      </c>
      <c r="I133" s="2" t="s">
        <v>1053</v>
      </c>
      <c r="J133" s="2" t="s">
        <v>1053</v>
      </c>
      <c r="K133" s="2" t="s">
        <v>81</v>
      </c>
      <c r="L133" s="2" t="s">
        <v>553</v>
      </c>
      <c r="M133" s="2" t="s">
        <v>114</v>
      </c>
      <c r="N133" s="2" t="s">
        <v>1314</v>
      </c>
      <c r="O133" s="2" t="s">
        <v>96</v>
      </c>
      <c r="P133" s="2" t="s">
        <v>1293</v>
      </c>
      <c r="Q133" s="2" t="s">
        <v>1333</v>
      </c>
      <c r="R133" s="2" t="s">
        <v>1334</v>
      </c>
      <c r="S133" s="2" t="s">
        <v>1335</v>
      </c>
      <c r="T133" s="2" t="s">
        <v>513</v>
      </c>
      <c r="U133" s="2"/>
      <c r="V133" s="2"/>
    </row>
    <row r="134" customFormat="false" ht="32.8" hidden="false" customHeight="false" outlineLevel="0" collapsed="false">
      <c r="A134" s="2" t="s">
        <v>1336</v>
      </c>
      <c r="B134" s="2" t="s">
        <v>1337</v>
      </c>
      <c r="C134" s="11" t="s">
        <v>1049</v>
      </c>
      <c r="D134" s="2" t="s">
        <v>1338</v>
      </c>
      <c r="E134" s="2" t="s">
        <v>1051</v>
      </c>
      <c r="F134" s="2" t="s">
        <v>77</v>
      </c>
      <c r="G134" s="2" t="s">
        <v>77</v>
      </c>
      <c r="H134" s="2" t="s">
        <v>1051</v>
      </c>
      <c r="I134" s="2" t="s">
        <v>1053</v>
      </c>
      <c r="J134" s="2" t="s">
        <v>1053</v>
      </c>
      <c r="K134" s="2" t="s">
        <v>81</v>
      </c>
      <c r="L134" s="2" t="s">
        <v>553</v>
      </c>
      <c r="M134" s="2" t="s">
        <v>114</v>
      </c>
      <c r="N134" s="2" t="s">
        <v>1339</v>
      </c>
      <c r="O134" s="2" t="s">
        <v>51</v>
      </c>
      <c r="P134" s="2" t="s">
        <v>1293</v>
      </c>
      <c r="Q134" s="2" t="s">
        <v>1340</v>
      </c>
      <c r="R134" s="2" t="s">
        <v>1341</v>
      </c>
      <c r="S134" s="2" t="s">
        <v>1342</v>
      </c>
      <c r="T134" s="2" t="s">
        <v>513</v>
      </c>
      <c r="U134" s="2"/>
      <c r="V134" s="2"/>
    </row>
    <row r="135" customFormat="false" ht="53.7" hidden="false" customHeight="false" outlineLevel="0" collapsed="false">
      <c r="A135" s="2" t="s">
        <v>1343</v>
      </c>
      <c r="B135" s="2" t="s">
        <v>1344</v>
      </c>
      <c r="C135" s="11" t="s">
        <v>1049</v>
      </c>
      <c r="D135" s="2" t="s">
        <v>1345</v>
      </c>
      <c r="E135" s="2" t="s">
        <v>1051</v>
      </c>
      <c r="F135" s="2" t="s">
        <v>77</v>
      </c>
      <c r="G135" s="2" t="s">
        <v>77</v>
      </c>
      <c r="H135" s="2" t="s">
        <v>1062</v>
      </c>
      <c r="I135" s="2" t="s">
        <v>1053</v>
      </c>
      <c r="J135" s="2" t="s">
        <v>1053</v>
      </c>
      <c r="K135" s="2" t="s">
        <v>81</v>
      </c>
      <c r="L135" s="2" t="s">
        <v>553</v>
      </c>
      <c r="M135" s="2" t="s">
        <v>114</v>
      </c>
      <c r="N135" s="2" t="s">
        <v>381</v>
      </c>
      <c r="O135" s="2" t="s">
        <v>96</v>
      </c>
      <c r="P135" s="2" t="s">
        <v>1053</v>
      </c>
      <c r="Q135" s="2" t="s">
        <v>1346</v>
      </c>
      <c r="R135" s="2" t="s">
        <v>1347</v>
      </c>
      <c r="S135" s="2" t="s">
        <v>1348</v>
      </c>
      <c r="T135" s="2" t="s">
        <v>1349</v>
      </c>
      <c r="U135" s="2"/>
      <c r="V135" s="2"/>
    </row>
    <row r="136" customFormat="false" ht="53.7" hidden="false" customHeight="false" outlineLevel="0" collapsed="false">
      <c r="A136" s="2" t="s">
        <v>1350</v>
      </c>
      <c r="B136" s="2" t="s">
        <v>1351</v>
      </c>
      <c r="C136" s="11" t="s">
        <v>1049</v>
      </c>
      <c r="D136" s="2" t="s">
        <v>1352</v>
      </c>
      <c r="E136" s="2" t="s">
        <v>1051</v>
      </c>
      <c r="F136" s="2" t="s">
        <v>77</v>
      </c>
      <c r="G136" s="2" t="s">
        <v>77</v>
      </c>
      <c r="H136" s="2" t="s">
        <v>1071</v>
      </c>
      <c r="I136" s="2" t="s">
        <v>96</v>
      </c>
      <c r="J136" s="2" t="s">
        <v>96</v>
      </c>
      <c r="K136" s="2" t="s">
        <v>81</v>
      </c>
      <c r="L136" s="2" t="s">
        <v>553</v>
      </c>
      <c r="M136" s="2" t="s">
        <v>114</v>
      </c>
      <c r="N136" s="2" t="s">
        <v>1353</v>
      </c>
      <c r="O136" s="2" t="s">
        <v>96</v>
      </c>
      <c r="P136" s="2" t="s">
        <v>1053</v>
      </c>
      <c r="Q136" s="2" t="s">
        <v>1354</v>
      </c>
      <c r="R136" s="2" t="s">
        <v>1355</v>
      </c>
      <c r="S136" s="2" t="s">
        <v>1356</v>
      </c>
      <c r="T136" s="2" t="s">
        <v>275</v>
      </c>
      <c r="U136" s="2"/>
      <c r="V136" s="2"/>
    </row>
    <row r="137" customFormat="false" ht="158.2" hidden="false" customHeight="false" outlineLevel="0" collapsed="false">
      <c r="A137" s="2" t="s">
        <v>1357</v>
      </c>
      <c r="B137" s="2" t="s">
        <v>1358</v>
      </c>
      <c r="C137" s="11" t="s">
        <v>1049</v>
      </c>
      <c r="D137" s="2" t="s">
        <v>1359</v>
      </c>
      <c r="E137" s="2" t="s">
        <v>1051</v>
      </c>
      <c r="F137" s="2" t="s">
        <v>77</v>
      </c>
      <c r="G137" s="2" t="s">
        <v>77</v>
      </c>
      <c r="H137" s="2" t="s">
        <v>1083</v>
      </c>
      <c r="I137" s="2" t="s">
        <v>1053</v>
      </c>
      <c r="J137" s="2" t="s">
        <v>1053</v>
      </c>
      <c r="K137" s="2" t="s">
        <v>81</v>
      </c>
      <c r="L137" s="2" t="s">
        <v>553</v>
      </c>
      <c r="M137" s="2" t="s">
        <v>1053</v>
      </c>
      <c r="N137" s="2" t="s">
        <v>1360</v>
      </c>
      <c r="O137" s="2" t="s">
        <v>96</v>
      </c>
      <c r="P137" s="2" t="s">
        <v>1361</v>
      </c>
      <c r="Q137" s="2" t="s">
        <v>1362</v>
      </c>
      <c r="R137" s="2" t="s">
        <v>1363</v>
      </c>
      <c r="S137" s="2" t="s">
        <v>1364</v>
      </c>
      <c r="T137" s="2" t="s">
        <v>584</v>
      </c>
      <c r="U137" s="2"/>
      <c r="V137" s="2"/>
    </row>
    <row r="138" customFormat="false" ht="43.25" hidden="false" customHeight="false" outlineLevel="0" collapsed="false">
      <c r="A138" s="2" t="s">
        <v>1365</v>
      </c>
      <c r="B138" s="2" t="s">
        <v>1366</v>
      </c>
      <c r="C138" s="11" t="s">
        <v>1049</v>
      </c>
      <c r="D138" s="2" t="s">
        <v>1367</v>
      </c>
      <c r="E138" s="2" t="s">
        <v>1051</v>
      </c>
      <c r="F138" s="2" t="s">
        <v>77</v>
      </c>
      <c r="G138" s="2" t="s">
        <v>77</v>
      </c>
      <c r="H138" s="2" t="s">
        <v>1062</v>
      </c>
      <c r="I138" s="2" t="s">
        <v>1053</v>
      </c>
      <c r="J138" s="2" t="s">
        <v>1053</v>
      </c>
      <c r="K138" s="2" t="s">
        <v>81</v>
      </c>
      <c r="L138" s="2" t="s">
        <v>553</v>
      </c>
      <c r="M138" s="2" t="s">
        <v>114</v>
      </c>
      <c r="N138" s="2" t="s">
        <v>1368</v>
      </c>
      <c r="O138" s="2" t="s">
        <v>96</v>
      </c>
      <c r="P138" s="2" t="s">
        <v>1369</v>
      </c>
      <c r="Q138" s="2" t="s">
        <v>1370</v>
      </c>
      <c r="R138" s="2" t="s">
        <v>1371</v>
      </c>
      <c r="S138" s="2" t="s">
        <v>1372</v>
      </c>
      <c r="T138" s="2" t="s">
        <v>1373</v>
      </c>
      <c r="U138" s="2"/>
      <c r="V138" s="2"/>
    </row>
    <row r="139" customFormat="false" ht="64.15" hidden="false" customHeight="false" outlineLevel="0" collapsed="false">
      <c r="A139" s="2" t="s">
        <v>1374</v>
      </c>
      <c r="B139" s="2" t="s">
        <v>1375</v>
      </c>
      <c r="C139" s="11" t="s">
        <v>1049</v>
      </c>
      <c r="D139" s="2" t="s">
        <v>1376</v>
      </c>
      <c r="E139" s="2" t="s">
        <v>1051</v>
      </c>
      <c r="F139" s="2" t="s">
        <v>77</v>
      </c>
      <c r="G139" s="2" t="s">
        <v>77</v>
      </c>
      <c r="H139" s="2" t="s">
        <v>1138</v>
      </c>
      <c r="I139" s="2" t="s">
        <v>1053</v>
      </c>
      <c r="J139" s="2" t="s">
        <v>1053</v>
      </c>
      <c r="K139" s="2" t="s">
        <v>81</v>
      </c>
      <c r="L139" s="2" t="s">
        <v>1377</v>
      </c>
      <c r="M139" s="2" t="s">
        <v>114</v>
      </c>
      <c r="N139" s="2" t="s">
        <v>1378</v>
      </c>
      <c r="O139" s="2" t="s">
        <v>96</v>
      </c>
      <c r="P139" s="2" t="s">
        <v>1053</v>
      </c>
      <c r="Q139" s="2" t="s">
        <v>1379</v>
      </c>
      <c r="R139" s="2" t="s">
        <v>1380</v>
      </c>
      <c r="S139" s="2" t="s">
        <v>1381</v>
      </c>
      <c r="T139" s="2" t="s">
        <v>1382</v>
      </c>
      <c r="U139" s="2"/>
      <c r="V139" s="2"/>
    </row>
    <row r="140" customFormat="false" ht="64.15" hidden="false" customHeight="false" outlineLevel="0" collapsed="false">
      <c r="A140" s="2" t="s">
        <v>1383</v>
      </c>
      <c r="B140" s="2" t="s">
        <v>1384</v>
      </c>
      <c r="C140" s="11" t="s">
        <v>1049</v>
      </c>
      <c r="D140" s="2" t="s">
        <v>1385</v>
      </c>
      <c r="E140" s="2" t="s">
        <v>1051</v>
      </c>
      <c r="F140" s="2" t="s">
        <v>77</v>
      </c>
      <c r="G140" s="2" t="s">
        <v>77</v>
      </c>
      <c r="H140" s="2" t="s">
        <v>1083</v>
      </c>
      <c r="I140" s="2" t="s">
        <v>1053</v>
      </c>
      <c r="J140" s="2" t="s">
        <v>1053</v>
      </c>
      <c r="K140" s="2" t="s">
        <v>81</v>
      </c>
      <c r="L140" s="2" t="s">
        <v>553</v>
      </c>
      <c r="M140" s="2" t="s">
        <v>114</v>
      </c>
      <c r="N140" s="2" t="s">
        <v>1386</v>
      </c>
      <c r="O140" s="2" t="s">
        <v>96</v>
      </c>
      <c r="P140" s="2" t="s">
        <v>1053</v>
      </c>
      <c r="Q140" s="2" t="s">
        <v>1387</v>
      </c>
      <c r="R140" s="2" t="s">
        <v>1388</v>
      </c>
      <c r="S140" s="2" t="s">
        <v>1389</v>
      </c>
      <c r="T140" s="2" t="s">
        <v>584</v>
      </c>
      <c r="U140" s="2"/>
      <c r="V140" s="2"/>
    </row>
    <row r="141" customFormat="false" ht="168.65" hidden="false" customHeight="false" outlineLevel="0" collapsed="false">
      <c r="A141" s="2" t="s">
        <v>1390</v>
      </c>
      <c r="B141" s="2" t="s">
        <v>1391</v>
      </c>
      <c r="C141" s="11" t="s">
        <v>1049</v>
      </c>
      <c r="D141" s="2" t="s">
        <v>1392</v>
      </c>
      <c r="E141" s="2" t="s">
        <v>1051</v>
      </c>
      <c r="F141" s="2" t="s">
        <v>77</v>
      </c>
      <c r="G141" s="2" t="s">
        <v>77</v>
      </c>
      <c r="H141" s="2" t="s">
        <v>1051</v>
      </c>
      <c r="I141" s="2" t="s">
        <v>1053</v>
      </c>
      <c r="J141" s="2" t="s">
        <v>1053</v>
      </c>
      <c r="K141" s="2" t="s">
        <v>81</v>
      </c>
      <c r="L141" s="2" t="s">
        <v>553</v>
      </c>
      <c r="M141" s="2" t="s">
        <v>114</v>
      </c>
      <c r="N141" s="2" t="s">
        <v>1393</v>
      </c>
      <c r="O141" s="2" t="s">
        <v>96</v>
      </c>
      <c r="P141" s="2" t="s">
        <v>1053</v>
      </c>
      <c r="Q141" s="2" t="s">
        <v>1394</v>
      </c>
      <c r="R141" s="2" t="s">
        <v>1395</v>
      </c>
      <c r="S141" s="2" t="s">
        <v>1396</v>
      </c>
      <c r="T141" s="2" t="s">
        <v>1397</v>
      </c>
      <c r="U141" s="2"/>
      <c r="V141" s="7" t="s">
        <v>1398</v>
      </c>
    </row>
    <row r="142" customFormat="false" ht="32.8" hidden="false" customHeight="false" outlineLevel="0" collapsed="false">
      <c r="A142" s="2" t="s">
        <v>1399</v>
      </c>
      <c r="B142" s="2" t="s">
        <v>1400</v>
      </c>
      <c r="C142" s="11" t="s">
        <v>1049</v>
      </c>
      <c r="D142" s="2" t="s">
        <v>1401</v>
      </c>
      <c r="E142" s="2" t="s">
        <v>1051</v>
      </c>
      <c r="F142" s="2" t="s">
        <v>77</v>
      </c>
      <c r="G142" s="2" t="s">
        <v>77</v>
      </c>
      <c r="H142" s="2" t="s">
        <v>1071</v>
      </c>
      <c r="I142" s="2" t="s">
        <v>1053</v>
      </c>
      <c r="J142" s="2" t="s">
        <v>1053</v>
      </c>
      <c r="K142" s="2" t="s">
        <v>81</v>
      </c>
      <c r="L142" s="2" t="s">
        <v>553</v>
      </c>
      <c r="M142" s="2" t="s">
        <v>114</v>
      </c>
      <c r="N142" s="2" t="s">
        <v>1402</v>
      </c>
      <c r="O142" s="2" t="s">
        <v>96</v>
      </c>
      <c r="P142" s="2" t="s">
        <v>1053</v>
      </c>
      <c r="Q142" s="2" t="s">
        <v>1403</v>
      </c>
      <c r="R142" s="2" t="s">
        <v>1404</v>
      </c>
      <c r="S142" s="2"/>
      <c r="T142" s="2" t="s">
        <v>275</v>
      </c>
      <c r="U142" s="2"/>
      <c r="V142" s="2"/>
    </row>
    <row r="143" customFormat="false" ht="116.4" hidden="false" customHeight="false" outlineLevel="0" collapsed="false">
      <c r="A143" s="2" t="s">
        <v>1405</v>
      </c>
      <c r="B143" s="2" t="s">
        <v>1406</v>
      </c>
      <c r="C143" s="11" t="s">
        <v>1049</v>
      </c>
      <c r="D143" s="2" t="s">
        <v>1407</v>
      </c>
      <c r="E143" s="2" t="s">
        <v>1051</v>
      </c>
      <c r="F143" s="2" t="s">
        <v>77</v>
      </c>
      <c r="G143" s="2" t="s">
        <v>77</v>
      </c>
      <c r="H143" s="2" t="s">
        <v>1062</v>
      </c>
      <c r="I143" s="2" t="s">
        <v>348</v>
      </c>
      <c r="J143" s="2" t="s">
        <v>1408</v>
      </c>
      <c r="K143" s="2" t="s">
        <v>1409</v>
      </c>
      <c r="L143" s="2" t="s">
        <v>553</v>
      </c>
      <c r="M143" s="2" t="s">
        <v>1410</v>
      </c>
      <c r="N143" s="2" t="s">
        <v>381</v>
      </c>
      <c r="O143" s="2" t="s">
        <v>96</v>
      </c>
      <c r="P143" s="2" t="s">
        <v>1053</v>
      </c>
      <c r="Q143" s="2" t="s">
        <v>1411</v>
      </c>
      <c r="R143" s="2" t="s">
        <v>1412</v>
      </c>
      <c r="S143" s="2" t="s">
        <v>1413</v>
      </c>
      <c r="T143" s="2" t="s">
        <v>397</v>
      </c>
      <c r="U143" s="2"/>
      <c r="V143" s="7" t="s">
        <v>1414</v>
      </c>
    </row>
    <row r="144" customFormat="false" ht="64.15" hidden="false" customHeight="false" outlineLevel="0" collapsed="false">
      <c r="A144" s="2" t="s">
        <v>1415</v>
      </c>
      <c r="B144" s="2" t="s">
        <v>1416</v>
      </c>
      <c r="C144" s="11" t="s">
        <v>1049</v>
      </c>
      <c r="D144" s="2" t="s">
        <v>1417</v>
      </c>
      <c r="E144" s="2" t="s">
        <v>1051</v>
      </c>
      <c r="F144" s="2" t="s">
        <v>77</v>
      </c>
      <c r="G144" s="2" t="s">
        <v>77</v>
      </c>
      <c r="H144" s="2" t="s">
        <v>1051</v>
      </c>
      <c r="I144" s="2" t="s">
        <v>1053</v>
      </c>
      <c r="J144" s="2" t="s">
        <v>1053</v>
      </c>
      <c r="K144" s="2" t="s">
        <v>81</v>
      </c>
      <c r="L144" s="2" t="s">
        <v>553</v>
      </c>
      <c r="M144" s="2" t="s">
        <v>114</v>
      </c>
      <c r="N144" s="2" t="s">
        <v>1418</v>
      </c>
      <c r="O144" s="2" t="s">
        <v>96</v>
      </c>
      <c r="P144" s="2" t="s">
        <v>1053</v>
      </c>
      <c r="Q144" s="2" t="s">
        <v>1419</v>
      </c>
      <c r="R144" s="2" t="s">
        <v>1420</v>
      </c>
      <c r="S144" s="2" t="s">
        <v>1421</v>
      </c>
      <c r="T144" s="2" t="s">
        <v>316</v>
      </c>
      <c r="U144" s="2" t="s">
        <v>1203</v>
      </c>
      <c r="V144" s="2"/>
    </row>
    <row r="145" customFormat="false" ht="53.7" hidden="false" customHeight="false" outlineLevel="0" collapsed="false">
      <c r="A145" s="2" t="s">
        <v>1422</v>
      </c>
      <c r="B145" s="2" t="s">
        <v>1423</v>
      </c>
      <c r="C145" s="11" t="s">
        <v>1049</v>
      </c>
      <c r="D145" s="2" t="s">
        <v>1424</v>
      </c>
      <c r="E145" s="2" t="s">
        <v>1425</v>
      </c>
      <c r="F145" s="2" t="s">
        <v>77</v>
      </c>
      <c r="G145" s="2" t="s">
        <v>77</v>
      </c>
      <c r="H145" s="2" t="s">
        <v>1426</v>
      </c>
      <c r="I145" s="2" t="s">
        <v>96</v>
      </c>
      <c r="J145" s="2" t="s">
        <v>96</v>
      </c>
      <c r="K145" s="2" t="s">
        <v>81</v>
      </c>
      <c r="L145" s="2" t="s">
        <v>553</v>
      </c>
      <c r="M145" s="2" t="s">
        <v>114</v>
      </c>
      <c r="N145" s="2" t="s">
        <v>1427</v>
      </c>
      <c r="O145" s="2" t="s">
        <v>96</v>
      </c>
      <c r="P145" s="2" t="s">
        <v>1428</v>
      </c>
      <c r="Q145" s="2" t="s">
        <v>1429</v>
      </c>
      <c r="R145" s="2" t="s">
        <v>1430</v>
      </c>
      <c r="S145" s="2" t="s">
        <v>1431</v>
      </c>
      <c r="T145" s="2" t="s">
        <v>584</v>
      </c>
      <c r="U145" s="2"/>
      <c r="V145" s="2"/>
    </row>
    <row r="146" customFormat="false" ht="43.25" hidden="false" customHeight="false" outlineLevel="0" collapsed="false">
      <c r="A146" s="2" t="s">
        <v>1432</v>
      </c>
      <c r="B146" s="2" t="s">
        <v>1433</v>
      </c>
      <c r="C146" s="11" t="s">
        <v>1049</v>
      </c>
      <c r="D146" s="2" t="s">
        <v>1434</v>
      </c>
      <c r="E146" s="2" t="s">
        <v>1425</v>
      </c>
      <c r="F146" s="2" t="s">
        <v>77</v>
      </c>
      <c r="G146" s="2" t="s">
        <v>77</v>
      </c>
      <c r="H146" s="2" t="s">
        <v>1435</v>
      </c>
      <c r="I146" s="2" t="s">
        <v>348</v>
      </c>
      <c r="J146" s="2" t="s">
        <v>1436</v>
      </c>
      <c r="K146" s="2" t="s">
        <v>81</v>
      </c>
      <c r="L146" s="2" t="s">
        <v>553</v>
      </c>
      <c r="M146" s="2" t="s">
        <v>114</v>
      </c>
      <c r="N146" s="2" t="s">
        <v>1427</v>
      </c>
      <c r="O146" s="2" t="s">
        <v>96</v>
      </c>
      <c r="P146" s="2" t="s">
        <v>1053</v>
      </c>
      <c r="Q146" s="2" t="s">
        <v>1437</v>
      </c>
      <c r="R146" s="2" t="s">
        <v>1438</v>
      </c>
      <c r="S146" s="2" t="s">
        <v>1439</v>
      </c>
      <c r="T146" s="2" t="s">
        <v>584</v>
      </c>
      <c r="U146" s="2"/>
      <c r="V146" s="2"/>
    </row>
    <row r="147" customFormat="false" ht="137.3" hidden="false" customHeight="false" outlineLevel="0" collapsed="false">
      <c r="A147" s="2" t="s">
        <v>1440</v>
      </c>
      <c r="B147" s="2" t="s">
        <v>1441</v>
      </c>
      <c r="C147" s="11" t="s">
        <v>1049</v>
      </c>
      <c r="D147" s="2" t="s">
        <v>1442</v>
      </c>
      <c r="E147" s="2" t="s">
        <v>1051</v>
      </c>
      <c r="F147" s="2" t="s">
        <v>77</v>
      </c>
      <c r="G147" s="2" t="s">
        <v>77</v>
      </c>
      <c r="H147" s="2" t="s">
        <v>1051</v>
      </c>
      <c r="I147" s="2" t="s">
        <v>96</v>
      </c>
      <c r="J147" s="2" t="s">
        <v>96</v>
      </c>
      <c r="K147" s="2" t="s">
        <v>81</v>
      </c>
      <c r="L147" s="2" t="s">
        <v>553</v>
      </c>
      <c r="M147" s="2" t="s">
        <v>114</v>
      </c>
      <c r="N147" s="2" t="s">
        <v>1443</v>
      </c>
      <c r="O147" s="2" t="s">
        <v>96</v>
      </c>
      <c r="P147" s="2" t="s">
        <v>1053</v>
      </c>
      <c r="Q147" s="2" t="s">
        <v>1444</v>
      </c>
      <c r="R147" s="2" t="s">
        <v>1445</v>
      </c>
      <c r="S147" s="2" t="s">
        <v>1446</v>
      </c>
      <c r="T147" s="2" t="s">
        <v>705</v>
      </c>
      <c r="U147" s="2"/>
      <c r="V147" s="7" t="s">
        <v>1447</v>
      </c>
    </row>
    <row r="148" customFormat="false" ht="32.8" hidden="false" customHeight="false" outlineLevel="0" collapsed="false">
      <c r="A148" s="2" t="s">
        <v>1448</v>
      </c>
      <c r="B148" s="2" t="s">
        <v>1449</v>
      </c>
      <c r="C148" s="11" t="s">
        <v>1049</v>
      </c>
      <c r="D148" s="2" t="s">
        <v>1450</v>
      </c>
      <c r="E148" s="2" t="s">
        <v>1051</v>
      </c>
      <c r="F148" s="2" t="s">
        <v>77</v>
      </c>
      <c r="G148" s="2" t="s">
        <v>77</v>
      </c>
      <c r="H148" s="2" t="s">
        <v>1051</v>
      </c>
      <c r="I148" s="2" t="s">
        <v>1053</v>
      </c>
      <c r="J148" s="2" t="s">
        <v>1053</v>
      </c>
      <c r="K148" s="2" t="s">
        <v>81</v>
      </c>
      <c r="L148" s="2" t="s">
        <v>553</v>
      </c>
      <c r="M148" s="2" t="s">
        <v>114</v>
      </c>
      <c r="N148" s="2" t="s">
        <v>381</v>
      </c>
      <c r="O148" s="2" t="s">
        <v>96</v>
      </c>
      <c r="P148" s="2" t="s">
        <v>1053</v>
      </c>
      <c r="Q148" s="2" t="s">
        <v>1451</v>
      </c>
      <c r="R148" s="2" t="s">
        <v>1452</v>
      </c>
      <c r="S148" s="2"/>
      <c r="T148" s="2" t="s">
        <v>1453</v>
      </c>
      <c r="U148" s="2"/>
      <c r="V148" s="2"/>
    </row>
    <row r="149" customFormat="false" ht="22.35" hidden="false" customHeight="false" outlineLevel="0" collapsed="false">
      <c r="A149" s="2" t="s">
        <v>1454</v>
      </c>
      <c r="B149" s="2" t="s">
        <v>1455</v>
      </c>
      <c r="C149" s="11" t="s">
        <v>1049</v>
      </c>
      <c r="D149" s="2" t="s">
        <v>1456</v>
      </c>
      <c r="E149" s="2" t="s">
        <v>1051</v>
      </c>
      <c r="F149" s="2" t="s">
        <v>77</v>
      </c>
      <c r="G149" s="2" t="s">
        <v>77</v>
      </c>
      <c r="H149" s="2" t="s">
        <v>1071</v>
      </c>
      <c r="I149" s="2" t="s">
        <v>1053</v>
      </c>
      <c r="J149" s="2" t="s">
        <v>1053</v>
      </c>
      <c r="K149" s="2" t="s">
        <v>81</v>
      </c>
      <c r="L149" s="2" t="s">
        <v>553</v>
      </c>
      <c r="M149" s="2" t="s">
        <v>114</v>
      </c>
      <c r="N149" s="2" t="s">
        <v>381</v>
      </c>
      <c r="O149" s="2" t="s">
        <v>96</v>
      </c>
      <c r="P149" s="2" t="s">
        <v>1053</v>
      </c>
      <c r="Q149" s="2" t="s">
        <v>1457</v>
      </c>
      <c r="R149" s="2" t="s">
        <v>1458</v>
      </c>
      <c r="S149" s="2" t="s">
        <v>1459</v>
      </c>
      <c r="T149" s="2" t="s">
        <v>513</v>
      </c>
      <c r="U149" s="2"/>
      <c r="V149" s="2"/>
    </row>
    <row r="150" customFormat="false" ht="32.8" hidden="false" customHeight="false" outlineLevel="0" collapsed="false">
      <c r="A150" s="2" t="s">
        <v>1460</v>
      </c>
      <c r="B150" s="2" t="s">
        <v>1461</v>
      </c>
      <c r="C150" s="11" t="s">
        <v>1049</v>
      </c>
      <c r="D150" s="2" t="s">
        <v>1076</v>
      </c>
      <c r="E150" s="2" t="s">
        <v>1051</v>
      </c>
      <c r="F150" s="2" t="s">
        <v>77</v>
      </c>
      <c r="G150" s="2" t="s">
        <v>77</v>
      </c>
      <c r="H150" s="2" t="s">
        <v>1062</v>
      </c>
      <c r="I150" s="2" t="s">
        <v>1053</v>
      </c>
      <c r="J150" s="2" t="s">
        <v>1053</v>
      </c>
      <c r="K150" s="2" t="s">
        <v>81</v>
      </c>
      <c r="L150" s="2" t="s">
        <v>1462</v>
      </c>
      <c r="M150" s="2" t="s">
        <v>114</v>
      </c>
      <c r="N150" s="2" t="s">
        <v>381</v>
      </c>
      <c r="O150" s="2" t="s">
        <v>96</v>
      </c>
      <c r="P150" s="2" t="s">
        <v>1053</v>
      </c>
      <c r="Q150" s="2" t="s">
        <v>1463</v>
      </c>
      <c r="R150" s="2" t="s">
        <v>1464</v>
      </c>
      <c r="S150" s="2"/>
      <c r="T150" s="2" t="s">
        <v>1465</v>
      </c>
      <c r="U150" s="2"/>
      <c r="V150" s="2"/>
    </row>
    <row r="151" customFormat="false" ht="43.25" hidden="false" customHeight="false" outlineLevel="0" collapsed="false">
      <c r="A151" s="2" t="s">
        <v>1466</v>
      </c>
      <c r="B151" s="2" t="s">
        <v>1467</v>
      </c>
      <c r="C151" s="11" t="s">
        <v>1049</v>
      </c>
      <c r="D151" s="2" t="s">
        <v>1468</v>
      </c>
      <c r="E151" s="2" t="s">
        <v>1051</v>
      </c>
      <c r="F151" s="2" t="s">
        <v>77</v>
      </c>
      <c r="G151" s="2" t="s">
        <v>77</v>
      </c>
      <c r="H151" s="2" t="s">
        <v>1051</v>
      </c>
      <c r="I151" s="2" t="s">
        <v>1053</v>
      </c>
      <c r="J151" s="2" t="s">
        <v>1053</v>
      </c>
      <c r="K151" s="2" t="s">
        <v>81</v>
      </c>
      <c r="L151" s="2" t="s">
        <v>553</v>
      </c>
      <c r="M151" s="2" t="s">
        <v>114</v>
      </c>
      <c r="N151" s="2" t="s">
        <v>381</v>
      </c>
      <c r="O151" s="2" t="s">
        <v>96</v>
      </c>
      <c r="P151" s="2" t="s">
        <v>1053</v>
      </c>
      <c r="Q151" s="2" t="s">
        <v>1469</v>
      </c>
      <c r="R151" s="2" t="s">
        <v>1470</v>
      </c>
      <c r="S151" s="2" t="s">
        <v>1471</v>
      </c>
      <c r="T151" s="2" t="s">
        <v>1472</v>
      </c>
      <c r="U151" s="2"/>
      <c r="V151" s="2"/>
    </row>
    <row r="152" customFormat="false" ht="32.8" hidden="false" customHeight="false" outlineLevel="0" collapsed="false">
      <c r="A152" s="2" t="s">
        <v>1473</v>
      </c>
      <c r="B152" s="2" t="s">
        <v>1474</v>
      </c>
      <c r="C152" s="11" t="s">
        <v>1049</v>
      </c>
      <c r="D152" s="2" t="s">
        <v>1475</v>
      </c>
      <c r="E152" s="2" t="s">
        <v>1051</v>
      </c>
      <c r="F152" s="2" t="s">
        <v>77</v>
      </c>
      <c r="G152" s="2" t="s">
        <v>77</v>
      </c>
      <c r="H152" s="2" t="s">
        <v>1051</v>
      </c>
      <c r="I152" s="2" t="s">
        <v>1053</v>
      </c>
      <c r="J152" s="2" t="s">
        <v>1053</v>
      </c>
      <c r="K152" s="2" t="s">
        <v>81</v>
      </c>
      <c r="L152" s="2" t="s">
        <v>553</v>
      </c>
      <c r="M152" s="2" t="s">
        <v>114</v>
      </c>
      <c r="N152" s="2" t="s">
        <v>381</v>
      </c>
      <c r="O152" s="2" t="s">
        <v>96</v>
      </c>
      <c r="P152" s="2" t="s">
        <v>1053</v>
      </c>
      <c r="Q152" s="2" t="s">
        <v>1476</v>
      </c>
      <c r="R152" s="2" t="s">
        <v>1477</v>
      </c>
      <c r="S152" s="2"/>
      <c r="T152" s="2" t="s">
        <v>1478</v>
      </c>
      <c r="U152" s="2"/>
      <c r="V152" s="2"/>
    </row>
    <row r="153" customFormat="false" ht="43.25" hidden="false" customHeight="false" outlineLevel="0" collapsed="false">
      <c r="A153" s="2" t="s">
        <v>1479</v>
      </c>
      <c r="B153" s="2" t="s">
        <v>1480</v>
      </c>
      <c r="C153" s="11" t="s">
        <v>1049</v>
      </c>
      <c r="D153" s="2" t="s">
        <v>1468</v>
      </c>
      <c r="E153" s="2" t="s">
        <v>1051</v>
      </c>
      <c r="F153" s="2" t="s">
        <v>77</v>
      </c>
      <c r="G153" s="2" t="s">
        <v>77</v>
      </c>
      <c r="H153" s="2" t="s">
        <v>1051</v>
      </c>
      <c r="I153" s="2" t="s">
        <v>1053</v>
      </c>
      <c r="J153" s="2" t="s">
        <v>1053</v>
      </c>
      <c r="K153" s="2" t="s">
        <v>81</v>
      </c>
      <c r="L153" s="2" t="s">
        <v>553</v>
      </c>
      <c r="M153" s="2" t="s">
        <v>114</v>
      </c>
      <c r="N153" s="2" t="s">
        <v>381</v>
      </c>
      <c r="O153" s="2" t="s">
        <v>96</v>
      </c>
      <c r="P153" s="2" t="s">
        <v>1053</v>
      </c>
      <c r="Q153" s="2" t="s">
        <v>1481</v>
      </c>
      <c r="R153" s="2" t="s">
        <v>1482</v>
      </c>
      <c r="S153" s="2" t="s">
        <v>1483</v>
      </c>
      <c r="T153" s="2" t="s">
        <v>1484</v>
      </c>
      <c r="U153" s="2"/>
      <c r="V153" s="2"/>
    </row>
    <row r="154" customFormat="false" ht="85.05" hidden="false" customHeight="false" outlineLevel="0" collapsed="false">
      <c r="A154" s="2" t="s">
        <v>1485</v>
      </c>
      <c r="B154" s="2" t="s">
        <v>1486</v>
      </c>
      <c r="C154" s="11" t="s">
        <v>1049</v>
      </c>
      <c r="D154" s="2" t="s">
        <v>1487</v>
      </c>
      <c r="E154" s="2" t="s">
        <v>1051</v>
      </c>
      <c r="F154" s="2" t="s">
        <v>77</v>
      </c>
      <c r="G154" s="2" t="s">
        <v>77</v>
      </c>
      <c r="H154" s="2" t="s">
        <v>1083</v>
      </c>
      <c r="I154" s="2" t="s">
        <v>1053</v>
      </c>
      <c r="J154" s="2" t="s">
        <v>1053</v>
      </c>
      <c r="K154" s="2" t="s">
        <v>81</v>
      </c>
      <c r="L154" s="2" t="s">
        <v>553</v>
      </c>
      <c r="M154" s="2" t="s">
        <v>114</v>
      </c>
      <c r="N154" s="2" t="s">
        <v>1488</v>
      </c>
      <c r="O154" s="2" t="s">
        <v>96</v>
      </c>
      <c r="P154" s="2" t="s">
        <v>1053</v>
      </c>
      <c r="Q154" s="2" t="s">
        <v>1489</v>
      </c>
      <c r="R154" s="2" t="s">
        <v>1490</v>
      </c>
      <c r="S154" s="2"/>
      <c r="T154" s="2" t="s">
        <v>584</v>
      </c>
      <c r="U154" s="2"/>
      <c r="V154" s="2"/>
    </row>
    <row r="155" customFormat="false" ht="64.15" hidden="false" customHeight="false" outlineLevel="0" collapsed="false">
      <c r="A155" s="2" t="s">
        <v>1491</v>
      </c>
      <c r="B155" s="2" t="s">
        <v>1492</v>
      </c>
      <c r="C155" s="11" t="s">
        <v>1049</v>
      </c>
      <c r="D155" s="2" t="s">
        <v>1493</v>
      </c>
      <c r="E155" s="2" t="s">
        <v>1051</v>
      </c>
      <c r="F155" s="2" t="s">
        <v>77</v>
      </c>
      <c r="G155" s="2" t="s">
        <v>77</v>
      </c>
      <c r="H155" s="2" t="s">
        <v>1219</v>
      </c>
      <c r="I155" s="2" t="s">
        <v>1053</v>
      </c>
      <c r="J155" s="2" t="s">
        <v>1053</v>
      </c>
      <c r="K155" s="2" t="s">
        <v>81</v>
      </c>
      <c r="L155" s="2" t="s">
        <v>553</v>
      </c>
      <c r="M155" s="2" t="s">
        <v>114</v>
      </c>
      <c r="N155" s="2" t="s">
        <v>1153</v>
      </c>
      <c r="O155" s="2" t="s">
        <v>96</v>
      </c>
      <c r="P155" s="2" t="s">
        <v>1053</v>
      </c>
      <c r="Q155" s="2" t="s">
        <v>1494</v>
      </c>
      <c r="R155" s="2" t="s">
        <v>1495</v>
      </c>
      <c r="S155" s="2" t="s">
        <v>1496</v>
      </c>
      <c r="T155" s="2" t="s">
        <v>584</v>
      </c>
      <c r="U155" s="2"/>
      <c r="V155" s="2"/>
    </row>
    <row r="156" customFormat="false" ht="116.4" hidden="false" customHeight="false" outlineLevel="0" collapsed="false">
      <c r="A156" s="2" t="s">
        <v>1497</v>
      </c>
      <c r="B156" s="2" t="s">
        <v>1498</v>
      </c>
      <c r="C156" s="11" t="s">
        <v>1049</v>
      </c>
      <c r="D156" s="2" t="s">
        <v>1499</v>
      </c>
      <c r="E156" s="2" t="s">
        <v>1051</v>
      </c>
      <c r="F156" s="2" t="s">
        <v>77</v>
      </c>
      <c r="G156" s="2" t="s">
        <v>77</v>
      </c>
      <c r="H156" s="2" t="s">
        <v>1083</v>
      </c>
      <c r="I156" s="2" t="s">
        <v>1053</v>
      </c>
      <c r="J156" s="2" t="s">
        <v>1053</v>
      </c>
      <c r="K156" s="2" t="s">
        <v>81</v>
      </c>
      <c r="L156" s="2" t="s">
        <v>553</v>
      </c>
      <c r="M156" s="2" t="s">
        <v>114</v>
      </c>
      <c r="N156" s="2" t="s">
        <v>1153</v>
      </c>
      <c r="O156" s="2" t="s">
        <v>96</v>
      </c>
      <c r="P156" s="2" t="s">
        <v>1053</v>
      </c>
      <c r="Q156" s="2" t="s">
        <v>1500</v>
      </c>
      <c r="R156" s="2" t="s">
        <v>1501</v>
      </c>
      <c r="S156" s="2" t="s">
        <v>1502</v>
      </c>
      <c r="T156" s="2" t="s">
        <v>584</v>
      </c>
      <c r="U156" s="2"/>
      <c r="V156" s="2"/>
    </row>
    <row r="157" customFormat="false" ht="262.65" hidden="false" customHeight="false" outlineLevel="0" collapsed="false">
      <c r="A157" s="2" t="s">
        <v>1503</v>
      </c>
      <c r="B157" s="2" t="s">
        <v>1504</v>
      </c>
      <c r="C157" s="11" t="s">
        <v>1049</v>
      </c>
      <c r="D157" s="2" t="s">
        <v>1505</v>
      </c>
      <c r="E157" s="2" t="s">
        <v>1051</v>
      </c>
      <c r="F157" s="2" t="s">
        <v>77</v>
      </c>
      <c r="G157" s="2" t="s">
        <v>77</v>
      </c>
      <c r="H157" s="2" t="s">
        <v>1506</v>
      </c>
      <c r="I157" s="2" t="s">
        <v>1053</v>
      </c>
      <c r="J157" s="2" t="s">
        <v>1507</v>
      </c>
      <c r="K157" s="2" t="s">
        <v>81</v>
      </c>
      <c r="L157" s="2" t="s">
        <v>553</v>
      </c>
      <c r="M157" s="2" t="s">
        <v>1053</v>
      </c>
      <c r="N157" s="2" t="s">
        <v>1508</v>
      </c>
      <c r="O157" s="2" t="s">
        <v>96</v>
      </c>
      <c r="P157" s="2" t="s">
        <v>1509</v>
      </c>
      <c r="Q157" s="2" t="s">
        <v>1510</v>
      </c>
      <c r="R157" s="2" t="s">
        <v>1511</v>
      </c>
      <c r="S157" s="2" t="s">
        <v>1512</v>
      </c>
      <c r="T157" s="2" t="s">
        <v>1513</v>
      </c>
      <c r="U157" s="2"/>
      <c r="V157" s="2"/>
    </row>
    <row r="158" customFormat="false" ht="64.15" hidden="false" customHeight="false" outlineLevel="0" collapsed="false">
      <c r="A158" s="2" t="s">
        <v>1514</v>
      </c>
      <c r="B158" s="2" t="s">
        <v>1515</v>
      </c>
      <c r="C158" s="11" t="s">
        <v>1049</v>
      </c>
      <c r="D158" s="2" t="s">
        <v>1516</v>
      </c>
      <c r="E158" s="2" t="s">
        <v>1051</v>
      </c>
      <c r="F158" s="2" t="s">
        <v>77</v>
      </c>
      <c r="G158" s="2" t="s">
        <v>77</v>
      </c>
      <c r="H158" s="2" t="s">
        <v>1083</v>
      </c>
      <c r="I158" s="2" t="s">
        <v>1053</v>
      </c>
      <c r="J158" s="2" t="s">
        <v>1053</v>
      </c>
      <c r="K158" s="2" t="s">
        <v>81</v>
      </c>
      <c r="L158" s="2" t="s">
        <v>553</v>
      </c>
      <c r="M158" s="2" t="s">
        <v>114</v>
      </c>
      <c r="N158" s="2" t="s">
        <v>1153</v>
      </c>
      <c r="O158" s="2" t="s">
        <v>96</v>
      </c>
      <c r="P158" s="2" t="s">
        <v>1053</v>
      </c>
      <c r="Q158" s="2" t="s">
        <v>1517</v>
      </c>
      <c r="R158" s="2" t="s">
        <v>1518</v>
      </c>
      <c r="S158" s="2" t="s">
        <v>1519</v>
      </c>
      <c r="T158" s="2" t="s">
        <v>584</v>
      </c>
      <c r="U158" s="2"/>
      <c r="V158" s="2"/>
    </row>
    <row r="159" customFormat="false" ht="85.05" hidden="false" customHeight="false" outlineLevel="0" collapsed="false">
      <c r="A159" s="2" t="s">
        <v>1520</v>
      </c>
      <c r="B159" s="2" t="s">
        <v>1521</v>
      </c>
      <c r="C159" s="11" t="s">
        <v>1049</v>
      </c>
      <c r="D159" s="2" t="s">
        <v>1522</v>
      </c>
      <c r="E159" s="2" t="s">
        <v>1051</v>
      </c>
      <c r="F159" s="2" t="s">
        <v>77</v>
      </c>
      <c r="G159" s="2" t="s">
        <v>77</v>
      </c>
      <c r="H159" s="2" t="s">
        <v>1083</v>
      </c>
      <c r="I159" s="2" t="s">
        <v>1053</v>
      </c>
      <c r="J159" s="2" t="s">
        <v>1053</v>
      </c>
      <c r="K159" s="2" t="s">
        <v>81</v>
      </c>
      <c r="L159" s="2" t="s">
        <v>553</v>
      </c>
      <c r="M159" s="2" t="s">
        <v>114</v>
      </c>
      <c r="N159" s="2" t="s">
        <v>1153</v>
      </c>
      <c r="O159" s="2" t="s">
        <v>96</v>
      </c>
      <c r="P159" s="2" t="s">
        <v>1053</v>
      </c>
      <c r="Q159" s="2" t="s">
        <v>1523</v>
      </c>
      <c r="R159" s="2" t="s">
        <v>1524</v>
      </c>
      <c r="S159" s="2"/>
      <c r="T159" s="2" t="s">
        <v>584</v>
      </c>
      <c r="U159" s="2"/>
      <c r="V159" s="2"/>
    </row>
    <row r="160" customFormat="false" ht="105.95" hidden="false" customHeight="false" outlineLevel="0" collapsed="false">
      <c r="A160" s="2" t="s">
        <v>1525</v>
      </c>
      <c r="B160" s="2" t="s">
        <v>1526</v>
      </c>
      <c r="C160" s="11" t="s">
        <v>1049</v>
      </c>
      <c r="D160" s="2" t="s">
        <v>1527</v>
      </c>
      <c r="E160" s="2" t="s">
        <v>1051</v>
      </c>
      <c r="F160" s="4" t="s">
        <v>27</v>
      </c>
      <c r="G160" s="2" t="s">
        <v>77</v>
      </c>
      <c r="H160" s="2" t="s">
        <v>1219</v>
      </c>
      <c r="I160" s="2" t="s">
        <v>1053</v>
      </c>
      <c r="J160" s="2" t="s">
        <v>1528</v>
      </c>
      <c r="K160" s="2" t="s">
        <v>81</v>
      </c>
      <c r="L160" s="2" t="s">
        <v>553</v>
      </c>
      <c r="M160" s="2" t="s">
        <v>1053</v>
      </c>
      <c r="N160" s="2" t="s">
        <v>1529</v>
      </c>
      <c r="O160" s="2" t="s">
        <v>96</v>
      </c>
      <c r="P160" s="2" t="s">
        <v>1530</v>
      </c>
      <c r="Q160" s="2" t="s">
        <v>1531</v>
      </c>
      <c r="R160" s="2" t="s">
        <v>1532</v>
      </c>
      <c r="S160" s="2" t="s">
        <v>1533</v>
      </c>
      <c r="T160" s="2" t="s">
        <v>584</v>
      </c>
      <c r="U160" s="2"/>
      <c r="V160" s="2"/>
    </row>
    <row r="161" customFormat="false" ht="116.4" hidden="false" customHeight="false" outlineLevel="0" collapsed="false">
      <c r="A161" s="2" t="s">
        <v>1534</v>
      </c>
      <c r="B161" s="2" t="s">
        <v>1535</v>
      </c>
      <c r="C161" s="11" t="s">
        <v>1049</v>
      </c>
      <c r="D161" s="2" t="s">
        <v>1536</v>
      </c>
      <c r="E161" s="2" t="s">
        <v>1051</v>
      </c>
      <c r="F161" s="2" t="s">
        <v>77</v>
      </c>
      <c r="G161" s="2" t="s">
        <v>77</v>
      </c>
      <c r="H161" s="2" t="s">
        <v>1083</v>
      </c>
      <c r="I161" s="2" t="s">
        <v>1053</v>
      </c>
      <c r="J161" s="2" t="s">
        <v>1053</v>
      </c>
      <c r="K161" s="2" t="s">
        <v>81</v>
      </c>
      <c r="L161" s="2" t="s">
        <v>553</v>
      </c>
      <c r="M161" s="2" t="s">
        <v>114</v>
      </c>
      <c r="N161" s="2" t="s">
        <v>1537</v>
      </c>
      <c r="O161" s="2" t="s">
        <v>96</v>
      </c>
      <c r="P161" s="2" t="s">
        <v>1053</v>
      </c>
      <c r="Q161" s="2" t="s">
        <v>1538</v>
      </c>
      <c r="R161" s="2" t="s">
        <v>1539</v>
      </c>
      <c r="S161" s="2" t="s">
        <v>1540</v>
      </c>
      <c r="T161" s="2" t="s">
        <v>1541</v>
      </c>
      <c r="U161" s="2"/>
      <c r="V161" s="2"/>
    </row>
    <row r="162" customFormat="false" ht="32.8" hidden="false" customHeight="false" outlineLevel="0" collapsed="false">
      <c r="A162" s="2" t="s">
        <v>1542</v>
      </c>
      <c r="B162" s="2" t="s">
        <v>1543</v>
      </c>
      <c r="C162" s="11" t="s">
        <v>1049</v>
      </c>
      <c r="D162" s="2" t="s">
        <v>1544</v>
      </c>
      <c r="E162" s="2" t="s">
        <v>1051</v>
      </c>
      <c r="F162" s="2" t="s">
        <v>77</v>
      </c>
      <c r="G162" s="2" t="s">
        <v>77</v>
      </c>
      <c r="H162" s="2" t="s">
        <v>1062</v>
      </c>
      <c r="I162" s="2" t="s">
        <v>1053</v>
      </c>
      <c r="J162" s="2" t="s">
        <v>1053</v>
      </c>
      <c r="K162" s="2" t="s">
        <v>81</v>
      </c>
      <c r="L162" s="2" t="s">
        <v>553</v>
      </c>
      <c r="M162" s="2" t="s">
        <v>114</v>
      </c>
      <c r="N162" s="2" t="s">
        <v>1545</v>
      </c>
      <c r="O162" s="2" t="s">
        <v>96</v>
      </c>
      <c r="P162" s="2" t="s">
        <v>1053</v>
      </c>
      <c r="Q162" s="2" t="s">
        <v>1546</v>
      </c>
      <c r="R162" s="2" t="s">
        <v>1547</v>
      </c>
      <c r="S162" s="2" t="s">
        <v>1548</v>
      </c>
      <c r="T162" s="2" t="s">
        <v>1549</v>
      </c>
      <c r="U162" s="2"/>
      <c r="V162" s="2"/>
    </row>
    <row r="163" customFormat="false" ht="32.8" hidden="false" customHeight="false" outlineLevel="0" collapsed="false">
      <c r="A163" s="2" t="s">
        <v>1550</v>
      </c>
      <c r="B163" s="2" t="s">
        <v>1551</v>
      </c>
      <c r="C163" s="11" t="s">
        <v>1049</v>
      </c>
      <c r="D163" s="2" t="s">
        <v>1552</v>
      </c>
      <c r="E163" s="2" t="s">
        <v>1051</v>
      </c>
      <c r="F163" s="2" t="s">
        <v>77</v>
      </c>
      <c r="G163" s="2" t="s">
        <v>77</v>
      </c>
      <c r="H163" s="2" t="s">
        <v>1051</v>
      </c>
      <c r="I163" s="2" t="s">
        <v>1053</v>
      </c>
      <c r="J163" s="2" t="s">
        <v>1053</v>
      </c>
      <c r="K163" s="2" t="s">
        <v>81</v>
      </c>
      <c r="L163" s="2" t="s">
        <v>553</v>
      </c>
      <c r="M163" s="2" t="s">
        <v>114</v>
      </c>
      <c r="N163" s="2" t="s">
        <v>1553</v>
      </c>
      <c r="O163" s="2" t="s">
        <v>96</v>
      </c>
      <c r="P163" s="2" t="s">
        <v>1554</v>
      </c>
      <c r="Q163" s="2" t="s">
        <v>1555</v>
      </c>
      <c r="R163" s="2" t="s">
        <v>1556</v>
      </c>
      <c r="S163" s="2"/>
      <c r="T163" s="2" t="s">
        <v>1557</v>
      </c>
      <c r="U163" s="2"/>
      <c r="V163" s="2"/>
    </row>
    <row r="164" customFormat="false" ht="53.7" hidden="false" customHeight="false" outlineLevel="0" collapsed="false">
      <c r="A164" s="2" t="s">
        <v>1558</v>
      </c>
      <c r="B164" s="2" t="s">
        <v>1559</v>
      </c>
      <c r="C164" s="11" t="s">
        <v>1049</v>
      </c>
      <c r="D164" s="2" t="s">
        <v>1560</v>
      </c>
      <c r="E164" s="2" t="s">
        <v>1051</v>
      </c>
      <c r="F164" s="2" t="s">
        <v>77</v>
      </c>
      <c r="G164" s="2" t="s">
        <v>77</v>
      </c>
      <c r="H164" s="2" t="s">
        <v>1138</v>
      </c>
      <c r="I164" s="2" t="s">
        <v>1053</v>
      </c>
      <c r="J164" s="2" t="s">
        <v>1053</v>
      </c>
      <c r="K164" s="2" t="s">
        <v>81</v>
      </c>
      <c r="L164" s="2" t="s">
        <v>553</v>
      </c>
      <c r="M164" s="2" t="s">
        <v>114</v>
      </c>
      <c r="N164" s="2" t="s">
        <v>1561</v>
      </c>
      <c r="O164" s="2" t="s">
        <v>96</v>
      </c>
      <c r="P164" s="2" t="s">
        <v>1053</v>
      </c>
      <c r="Q164" s="2" t="s">
        <v>1562</v>
      </c>
      <c r="R164" s="2" t="s">
        <v>1563</v>
      </c>
      <c r="S164" s="2" t="s">
        <v>1564</v>
      </c>
      <c r="T164" s="2" t="s">
        <v>584</v>
      </c>
      <c r="U164" s="2"/>
      <c r="V164" s="2"/>
    </row>
    <row r="165" customFormat="false" ht="262.65" hidden="false" customHeight="false" outlineLevel="0" collapsed="false">
      <c r="A165" s="2" t="s">
        <v>1565</v>
      </c>
      <c r="B165" s="2" t="s">
        <v>1566</v>
      </c>
      <c r="C165" s="11" t="s">
        <v>1049</v>
      </c>
      <c r="D165" s="2" t="s">
        <v>1567</v>
      </c>
      <c r="E165" s="2" t="s">
        <v>1051</v>
      </c>
      <c r="F165" s="2" t="s">
        <v>77</v>
      </c>
      <c r="G165" s="2" t="s">
        <v>77</v>
      </c>
      <c r="H165" s="2" t="s">
        <v>1083</v>
      </c>
      <c r="I165" s="2" t="s">
        <v>1053</v>
      </c>
      <c r="J165" s="2" t="s">
        <v>1053</v>
      </c>
      <c r="K165" s="2" t="s">
        <v>1178</v>
      </c>
      <c r="L165" s="2" t="s">
        <v>1568</v>
      </c>
      <c r="M165" s="2" t="s">
        <v>1053</v>
      </c>
      <c r="N165" s="2" t="s">
        <v>1569</v>
      </c>
      <c r="O165" s="2" t="s">
        <v>51</v>
      </c>
      <c r="P165" s="2" t="s">
        <v>1570</v>
      </c>
      <c r="Q165" s="2" t="s">
        <v>1571</v>
      </c>
      <c r="R165" s="2" t="s">
        <v>1572</v>
      </c>
      <c r="S165" s="2" t="s">
        <v>1573</v>
      </c>
      <c r="T165" s="2" t="s">
        <v>1574</v>
      </c>
      <c r="U165" s="2" t="s">
        <v>1575</v>
      </c>
      <c r="V165" s="2"/>
    </row>
    <row r="166" customFormat="false" ht="32.8" hidden="false" customHeight="false" outlineLevel="0" collapsed="false">
      <c r="A166" s="2" t="s">
        <v>1576</v>
      </c>
      <c r="B166" s="2" t="s">
        <v>1577</v>
      </c>
      <c r="C166" s="12" t="s">
        <v>1578</v>
      </c>
      <c r="D166" s="2" t="s">
        <v>1579</v>
      </c>
      <c r="E166" s="2" t="s">
        <v>1425</v>
      </c>
      <c r="F166" s="4" t="s">
        <v>27</v>
      </c>
      <c r="G166" s="2" t="s">
        <v>77</v>
      </c>
      <c r="H166" s="2" t="s">
        <v>1580</v>
      </c>
      <c r="I166" s="2" t="s">
        <v>96</v>
      </c>
      <c r="J166" s="2" t="s">
        <v>96</v>
      </c>
      <c r="K166" s="2" t="s">
        <v>1581</v>
      </c>
      <c r="L166" s="2" t="s">
        <v>553</v>
      </c>
      <c r="M166" s="2" t="s">
        <v>114</v>
      </c>
      <c r="N166" s="2" t="s">
        <v>1052</v>
      </c>
      <c r="O166" s="2" t="s">
        <v>96</v>
      </c>
      <c r="P166" s="2" t="s">
        <v>258</v>
      </c>
      <c r="Q166" s="2" t="s">
        <v>1582</v>
      </c>
      <c r="R166" s="2" t="s">
        <v>1583</v>
      </c>
      <c r="S166" s="2" t="s">
        <v>1584</v>
      </c>
      <c r="T166" s="2" t="s">
        <v>1585</v>
      </c>
      <c r="U166" s="2"/>
      <c r="V166" s="7" t="s">
        <v>1586</v>
      </c>
    </row>
    <row r="167" customFormat="false" ht="64.15" hidden="false" customHeight="false" outlineLevel="0" collapsed="false">
      <c r="A167" s="2" t="s">
        <v>1587</v>
      </c>
      <c r="B167" s="2" t="s">
        <v>1588</v>
      </c>
      <c r="C167" s="12" t="s">
        <v>1578</v>
      </c>
      <c r="D167" s="2" t="s">
        <v>1589</v>
      </c>
      <c r="E167" s="2" t="s">
        <v>296</v>
      </c>
      <c r="F167" s="2" t="s">
        <v>77</v>
      </c>
      <c r="G167" s="2" t="s">
        <v>77</v>
      </c>
      <c r="H167" s="2" t="s">
        <v>656</v>
      </c>
      <c r="I167" s="2" t="s">
        <v>492</v>
      </c>
      <c r="J167" s="2" t="s">
        <v>1590</v>
      </c>
      <c r="K167" s="2" t="s">
        <v>1591</v>
      </c>
      <c r="L167" s="2" t="s">
        <v>553</v>
      </c>
      <c r="M167" s="2" t="s">
        <v>114</v>
      </c>
      <c r="N167" s="2" t="s">
        <v>1443</v>
      </c>
      <c r="O167" s="2" t="s">
        <v>96</v>
      </c>
      <c r="P167" s="2" t="s">
        <v>1592</v>
      </c>
      <c r="Q167" s="2" t="s">
        <v>1593</v>
      </c>
      <c r="R167" s="2" t="s">
        <v>1594</v>
      </c>
      <c r="S167" s="2" t="s">
        <v>1595</v>
      </c>
      <c r="T167" s="2" t="s">
        <v>1596</v>
      </c>
      <c r="U167" s="2"/>
      <c r="V167" s="7" t="s">
        <v>1597</v>
      </c>
    </row>
    <row r="168" customFormat="false" ht="85.05" hidden="false" customHeight="false" outlineLevel="0" collapsed="false">
      <c r="A168" s="2" t="s">
        <v>1598</v>
      </c>
      <c r="B168" s="2" t="s">
        <v>1599</v>
      </c>
      <c r="C168" s="12" t="s">
        <v>1578</v>
      </c>
      <c r="D168" s="2" t="s">
        <v>1600</v>
      </c>
      <c r="E168" s="2" t="s">
        <v>490</v>
      </c>
      <c r="F168" s="2" t="s">
        <v>77</v>
      </c>
      <c r="G168" s="2" t="s">
        <v>77</v>
      </c>
      <c r="H168" s="2" t="s">
        <v>1601</v>
      </c>
      <c r="I168" s="2" t="s">
        <v>492</v>
      </c>
      <c r="J168" s="2" t="s">
        <v>1602</v>
      </c>
      <c r="K168" s="2" t="s">
        <v>1603</v>
      </c>
      <c r="L168" s="2" t="s">
        <v>553</v>
      </c>
      <c r="M168" s="2" t="s">
        <v>114</v>
      </c>
      <c r="N168" s="2" t="s">
        <v>1604</v>
      </c>
      <c r="O168" s="2" t="s">
        <v>96</v>
      </c>
      <c r="P168" s="2" t="s">
        <v>1605</v>
      </c>
      <c r="Q168" s="2"/>
      <c r="R168" s="2" t="s">
        <v>1606</v>
      </c>
      <c r="S168" s="2" t="s">
        <v>1607</v>
      </c>
      <c r="T168" s="2" t="s">
        <v>1608</v>
      </c>
      <c r="U168" s="2"/>
      <c r="V168" s="2"/>
    </row>
    <row r="169" customFormat="false" ht="53.7" hidden="false" customHeight="false" outlineLevel="0" collapsed="false">
      <c r="A169" s="2" t="s">
        <v>1609</v>
      </c>
      <c r="B169" s="2" t="s">
        <v>1610</v>
      </c>
      <c r="C169" s="12" t="s">
        <v>1578</v>
      </c>
      <c r="D169" s="2" t="s">
        <v>1611</v>
      </c>
      <c r="E169" s="2" t="s">
        <v>296</v>
      </c>
      <c r="F169" s="2" t="s">
        <v>77</v>
      </c>
      <c r="G169" s="2" t="s">
        <v>77</v>
      </c>
      <c r="H169" s="2" t="s">
        <v>1612</v>
      </c>
      <c r="I169" s="2" t="s">
        <v>96</v>
      </c>
      <c r="J169" s="2" t="s">
        <v>96</v>
      </c>
      <c r="K169" s="2" t="s">
        <v>1613</v>
      </c>
      <c r="L169" s="2" t="s">
        <v>553</v>
      </c>
      <c r="M169" s="2" t="s">
        <v>114</v>
      </c>
      <c r="N169" s="2" t="s">
        <v>1443</v>
      </c>
      <c r="O169" s="2" t="s">
        <v>96</v>
      </c>
      <c r="P169" s="2" t="s">
        <v>1592</v>
      </c>
      <c r="Q169" s="2" t="s">
        <v>1614</v>
      </c>
      <c r="R169" s="2" t="s">
        <v>1615</v>
      </c>
      <c r="S169" s="2" t="s">
        <v>1616</v>
      </c>
      <c r="T169" s="2" t="s">
        <v>1617</v>
      </c>
      <c r="U169" s="2"/>
      <c r="V169" s="7" t="s">
        <v>1618</v>
      </c>
    </row>
    <row r="170" customFormat="false" ht="43.25" hidden="false" customHeight="false" outlineLevel="0" collapsed="false">
      <c r="A170" s="2" t="s">
        <v>1619</v>
      </c>
      <c r="B170" s="2" t="s">
        <v>1620</v>
      </c>
      <c r="C170" s="12" t="s">
        <v>1578</v>
      </c>
      <c r="D170" s="2" t="s">
        <v>1611</v>
      </c>
      <c r="E170" s="2" t="s">
        <v>296</v>
      </c>
      <c r="F170" s="2" t="s">
        <v>77</v>
      </c>
      <c r="G170" s="2" t="s">
        <v>77</v>
      </c>
      <c r="H170" s="2" t="s">
        <v>1612</v>
      </c>
      <c r="I170" s="2" t="s">
        <v>96</v>
      </c>
      <c r="J170" s="2" t="s">
        <v>96</v>
      </c>
      <c r="K170" s="2" t="s">
        <v>1613</v>
      </c>
      <c r="L170" s="2" t="s">
        <v>553</v>
      </c>
      <c r="M170" s="2" t="s">
        <v>114</v>
      </c>
      <c r="N170" s="2" t="s">
        <v>1443</v>
      </c>
      <c r="O170" s="2" t="s">
        <v>96</v>
      </c>
      <c r="P170" s="2" t="s">
        <v>1592</v>
      </c>
      <c r="Q170" s="2" t="s">
        <v>1621</v>
      </c>
      <c r="R170" s="2" t="s">
        <v>1615</v>
      </c>
      <c r="S170" s="2" t="s">
        <v>1622</v>
      </c>
      <c r="T170" s="2" t="s">
        <v>1617</v>
      </c>
      <c r="U170" s="2"/>
      <c r="V170" s="7" t="s">
        <v>1618</v>
      </c>
    </row>
    <row r="171" customFormat="false" ht="32.8" hidden="false" customHeight="false" outlineLevel="0" collapsed="false">
      <c r="A171" s="2" t="s">
        <v>1623</v>
      </c>
      <c r="B171" s="2" t="s">
        <v>1624</v>
      </c>
      <c r="C171" s="12" t="s">
        <v>1578</v>
      </c>
      <c r="D171" s="2" t="s">
        <v>1611</v>
      </c>
      <c r="E171" s="2" t="s">
        <v>296</v>
      </c>
      <c r="F171" s="2" t="s">
        <v>77</v>
      </c>
      <c r="G171" s="2" t="s">
        <v>77</v>
      </c>
      <c r="H171" s="2" t="s">
        <v>1612</v>
      </c>
      <c r="I171" s="2" t="s">
        <v>96</v>
      </c>
      <c r="J171" s="2" t="s">
        <v>96</v>
      </c>
      <c r="K171" s="2" t="s">
        <v>1613</v>
      </c>
      <c r="L171" s="2" t="s">
        <v>553</v>
      </c>
      <c r="M171" s="2" t="s">
        <v>114</v>
      </c>
      <c r="N171" s="2" t="s">
        <v>1443</v>
      </c>
      <c r="O171" s="2" t="s">
        <v>96</v>
      </c>
      <c r="P171" s="2" t="s">
        <v>1592</v>
      </c>
      <c r="Q171" s="2" t="s">
        <v>1625</v>
      </c>
      <c r="R171" s="2" t="s">
        <v>1615</v>
      </c>
      <c r="S171" s="2" t="s">
        <v>1622</v>
      </c>
      <c r="T171" s="2" t="s">
        <v>1617</v>
      </c>
      <c r="U171" s="2"/>
      <c r="V171" s="7" t="s">
        <v>1618</v>
      </c>
    </row>
    <row r="172" customFormat="false" ht="43.25" hidden="false" customHeight="false" outlineLevel="0" collapsed="false">
      <c r="A172" s="2" t="s">
        <v>1626</v>
      </c>
      <c r="B172" s="2" t="s">
        <v>1627</v>
      </c>
      <c r="C172" s="12" t="s">
        <v>1578</v>
      </c>
      <c r="D172" s="2" t="s">
        <v>1628</v>
      </c>
      <c r="E172" s="2" t="s">
        <v>1425</v>
      </c>
      <c r="F172" s="4" t="s">
        <v>27</v>
      </c>
      <c r="G172" s="2" t="s">
        <v>77</v>
      </c>
      <c r="H172" s="2" t="s">
        <v>1629</v>
      </c>
      <c r="I172" s="2" t="s">
        <v>96</v>
      </c>
      <c r="J172" s="2" t="s">
        <v>96</v>
      </c>
      <c r="K172" s="2" t="s">
        <v>1581</v>
      </c>
      <c r="L172" s="2" t="s">
        <v>553</v>
      </c>
      <c r="M172" s="2" t="s">
        <v>114</v>
      </c>
      <c r="N172" s="2" t="s">
        <v>381</v>
      </c>
      <c r="O172" s="2" t="s">
        <v>96</v>
      </c>
      <c r="P172" s="2" t="s">
        <v>258</v>
      </c>
      <c r="Q172" s="2" t="s">
        <v>1630</v>
      </c>
      <c r="R172" s="2" t="s">
        <v>1631</v>
      </c>
      <c r="S172" s="2" t="s">
        <v>1632</v>
      </c>
      <c r="T172" s="2" t="s">
        <v>1633</v>
      </c>
      <c r="U172" s="2"/>
      <c r="V172" s="2"/>
    </row>
    <row r="173" customFormat="false" ht="43.25" hidden="false" customHeight="false" outlineLevel="0" collapsed="false">
      <c r="A173" s="2" t="s">
        <v>1634</v>
      </c>
      <c r="B173" s="2" t="s">
        <v>1635</v>
      </c>
      <c r="C173" s="12" t="s">
        <v>1578</v>
      </c>
      <c r="D173" s="2" t="s">
        <v>1636</v>
      </c>
      <c r="E173" s="2" t="s">
        <v>296</v>
      </c>
      <c r="F173" s="2" t="s">
        <v>77</v>
      </c>
      <c r="G173" s="2" t="s">
        <v>77</v>
      </c>
      <c r="H173" s="2" t="s">
        <v>1637</v>
      </c>
      <c r="I173" s="2" t="s">
        <v>96</v>
      </c>
      <c r="J173" s="2" t="s">
        <v>96</v>
      </c>
      <c r="K173" s="2" t="s">
        <v>81</v>
      </c>
      <c r="L173" s="2" t="s">
        <v>553</v>
      </c>
      <c r="M173" s="2" t="s">
        <v>114</v>
      </c>
      <c r="N173" s="2" t="s">
        <v>381</v>
      </c>
      <c r="O173" s="2" t="s">
        <v>96</v>
      </c>
      <c r="P173" s="2" t="s">
        <v>1053</v>
      </c>
      <c r="Q173" s="2" t="s">
        <v>1638</v>
      </c>
      <c r="R173" s="2" t="s">
        <v>1639</v>
      </c>
      <c r="S173" s="2" t="s">
        <v>1640</v>
      </c>
      <c r="T173" s="2" t="s">
        <v>1641</v>
      </c>
      <c r="U173" s="2"/>
      <c r="V173" s="2"/>
    </row>
    <row r="174" customFormat="false" ht="43.25" hidden="false" customHeight="false" outlineLevel="0" collapsed="false">
      <c r="A174" s="2" t="s">
        <v>1642</v>
      </c>
      <c r="B174" s="2" t="s">
        <v>1643</v>
      </c>
      <c r="C174" s="12" t="s">
        <v>1578</v>
      </c>
      <c r="D174" s="2" t="s">
        <v>1611</v>
      </c>
      <c r="E174" s="2" t="s">
        <v>296</v>
      </c>
      <c r="F174" s="2" t="s">
        <v>77</v>
      </c>
      <c r="G174" s="2" t="s">
        <v>77</v>
      </c>
      <c r="H174" s="2" t="s">
        <v>1612</v>
      </c>
      <c r="I174" s="2" t="s">
        <v>96</v>
      </c>
      <c r="J174" s="2" t="s">
        <v>96</v>
      </c>
      <c r="K174" s="2" t="s">
        <v>1613</v>
      </c>
      <c r="L174" s="2" t="s">
        <v>553</v>
      </c>
      <c r="M174" s="2" t="s">
        <v>114</v>
      </c>
      <c r="N174" s="2" t="s">
        <v>1443</v>
      </c>
      <c r="O174" s="2" t="s">
        <v>96</v>
      </c>
      <c r="P174" s="2" t="s">
        <v>1592</v>
      </c>
      <c r="Q174" s="2" t="s">
        <v>1644</v>
      </c>
      <c r="R174" s="2" t="s">
        <v>1615</v>
      </c>
      <c r="S174" s="2" t="s">
        <v>1622</v>
      </c>
      <c r="T174" s="2" t="s">
        <v>1617</v>
      </c>
      <c r="U174" s="2"/>
      <c r="V174" s="7" t="s">
        <v>1618</v>
      </c>
    </row>
    <row r="175" customFormat="false" ht="273.1" hidden="false" customHeight="false" outlineLevel="0" collapsed="false">
      <c r="A175" s="2" t="s">
        <v>1645</v>
      </c>
      <c r="B175" s="2" t="s">
        <v>1646</v>
      </c>
      <c r="C175" s="12" t="s">
        <v>1578</v>
      </c>
      <c r="D175" s="2" t="s">
        <v>1647</v>
      </c>
      <c r="E175" s="2" t="s">
        <v>490</v>
      </c>
      <c r="F175" s="2" t="s">
        <v>77</v>
      </c>
      <c r="G175" s="2" t="s">
        <v>77</v>
      </c>
      <c r="H175" s="2" t="s">
        <v>1601</v>
      </c>
      <c r="I175" s="2" t="s">
        <v>492</v>
      </c>
      <c r="J175" s="2" t="s">
        <v>1648</v>
      </c>
      <c r="K175" s="2" t="s">
        <v>1649</v>
      </c>
      <c r="L175" s="2" t="s">
        <v>553</v>
      </c>
      <c r="M175" s="2" t="s">
        <v>1650</v>
      </c>
      <c r="N175" s="2" t="s">
        <v>1651</v>
      </c>
      <c r="O175" s="2" t="s">
        <v>35</v>
      </c>
      <c r="P175" s="2" t="s">
        <v>1652</v>
      </c>
      <c r="Q175" s="2"/>
      <c r="R175" s="2" t="s">
        <v>1653</v>
      </c>
      <c r="S175" s="2" t="s">
        <v>1654</v>
      </c>
      <c r="T175" s="2" t="s">
        <v>1655</v>
      </c>
      <c r="U175" s="2" t="s">
        <v>1656</v>
      </c>
      <c r="V175" s="2"/>
    </row>
    <row r="176" customFormat="false" ht="53.7" hidden="false" customHeight="false" outlineLevel="0" collapsed="false">
      <c r="A176" s="2" t="s">
        <v>1657</v>
      </c>
      <c r="B176" s="2" t="s">
        <v>1658</v>
      </c>
      <c r="C176" s="12" t="s">
        <v>1578</v>
      </c>
      <c r="D176" s="2" t="s">
        <v>1659</v>
      </c>
      <c r="E176" s="2" t="s">
        <v>490</v>
      </c>
      <c r="F176" s="2" t="s">
        <v>77</v>
      </c>
      <c r="G176" s="2" t="s">
        <v>77</v>
      </c>
      <c r="H176" s="2" t="s">
        <v>1601</v>
      </c>
      <c r="I176" s="2" t="s">
        <v>96</v>
      </c>
      <c r="J176" s="2" t="s">
        <v>96</v>
      </c>
      <c r="K176" s="2" t="s">
        <v>1660</v>
      </c>
      <c r="L176" s="2" t="s">
        <v>553</v>
      </c>
      <c r="M176" s="2" t="s">
        <v>114</v>
      </c>
      <c r="N176" s="2" t="s">
        <v>1661</v>
      </c>
      <c r="O176" s="2" t="s">
        <v>96</v>
      </c>
      <c r="P176" s="2" t="s">
        <v>1605</v>
      </c>
      <c r="Q176" s="2"/>
      <c r="R176" s="2" t="s">
        <v>1662</v>
      </c>
      <c r="S176" s="2" t="s">
        <v>1663</v>
      </c>
      <c r="T176" s="2" t="s">
        <v>1664</v>
      </c>
      <c r="U176" s="2"/>
      <c r="V176" s="2"/>
    </row>
    <row r="177" customFormat="false" ht="32.8" hidden="false" customHeight="false" outlineLevel="0" collapsed="false">
      <c r="A177" s="2" t="s">
        <v>1665</v>
      </c>
      <c r="B177" s="2" t="s">
        <v>1666</v>
      </c>
      <c r="C177" s="12" t="s">
        <v>1578</v>
      </c>
      <c r="D177" s="2" t="s">
        <v>1667</v>
      </c>
      <c r="E177" s="2" t="s">
        <v>1051</v>
      </c>
      <c r="F177" s="2" t="s">
        <v>77</v>
      </c>
      <c r="G177" s="2" t="s">
        <v>77</v>
      </c>
      <c r="H177" s="2" t="s">
        <v>402</v>
      </c>
      <c r="I177" s="2" t="s">
        <v>96</v>
      </c>
      <c r="J177" s="2" t="s">
        <v>96</v>
      </c>
      <c r="K177" s="2" t="s">
        <v>81</v>
      </c>
      <c r="L177" s="2" t="s">
        <v>553</v>
      </c>
      <c r="M177" s="2" t="s">
        <v>114</v>
      </c>
      <c r="N177" s="2" t="s">
        <v>381</v>
      </c>
      <c r="O177" s="2" t="s">
        <v>96</v>
      </c>
      <c r="P177" s="2" t="s">
        <v>1053</v>
      </c>
      <c r="Q177" s="2" t="s">
        <v>1668</v>
      </c>
      <c r="R177" s="2" t="s">
        <v>1669</v>
      </c>
      <c r="S177" s="2"/>
      <c r="T177" s="2" t="s">
        <v>1670</v>
      </c>
      <c r="U177" s="2"/>
      <c r="V177" s="2"/>
    </row>
    <row r="178" customFormat="false" ht="64.15" hidden="false" customHeight="false" outlineLevel="0" collapsed="false">
      <c r="A178" s="2" t="s">
        <v>1671</v>
      </c>
      <c r="B178" s="2" t="s">
        <v>1672</v>
      </c>
      <c r="C178" s="12" t="s">
        <v>1578</v>
      </c>
      <c r="D178" s="2" t="s">
        <v>1673</v>
      </c>
      <c r="E178" s="2" t="s">
        <v>1425</v>
      </c>
      <c r="F178" s="4" t="s">
        <v>27</v>
      </c>
      <c r="G178" s="2" t="s">
        <v>77</v>
      </c>
      <c r="H178" s="2" t="s">
        <v>1674</v>
      </c>
      <c r="I178" s="2" t="s">
        <v>492</v>
      </c>
      <c r="J178" s="2" t="s">
        <v>1675</v>
      </c>
      <c r="K178" s="2" t="s">
        <v>1676</v>
      </c>
      <c r="L178" s="2" t="s">
        <v>553</v>
      </c>
      <c r="M178" s="2" t="s">
        <v>114</v>
      </c>
      <c r="N178" s="2" t="s">
        <v>1677</v>
      </c>
      <c r="O178" s="2" t="s">
        <v>96</v>
      </c>
      <c r="P178" s="2" t="s">
        <v>258</v>
      </c>
      <c r="Q178" s="2" t="s">
        <v>1678</v>
      </c>
      <c r="R178" s="2" t="s">
        <v>1679</v>
      </c>
      <c r="S178" s="2" t="s">
        <v>1680</v>
      </c>
      <c r="T178" s="2" t="s">
        <v>1681</v>
      </c>
      <c r="U178" s="2"/>
      <c r="V178" s="2"/>
    </row>
    <row r="179" customFormat="false" ht="168.65" hidden="false" customHeight="false" outlineLevel="0" collapsed="false">
      <c r="A179" s="2" t="s">
        <v>1682</v>
      </c>
      <c r="B179" s="2" t="s">
        <v>1683</v>
      </c>
      <c r="C179" s="12" t="s">
        <v>1578</v>
      </c>
      <c r="D179" s="2" t="s">
        <v>1684</v>
      </c>
      <c r="E179" s="2" t="s">
        <v>490</v>
      </c>
      <c r="F179" s="2" t="s">
        <v>77</v>
      </c>
      <c r="G179" s="2" t="s">
        <v>77</v>
      </c>
      <c r="H179" s="2" t="s">
        <v>1685</v>
      </c>
      <c r="I179" s="2" t="s">
        <v>492</v>
      </c>
      <c r="J179" s="2" t="s">
        <v>1686</v>
      </c>
      <c r="K179" s="2" t="s">
        <v>1687</v>
      </c>
      <c r="L179" s="2" t="s">
        <v>553</v>
      </c>
      <c r="M179" s="2" t="s">
        <v>114</v>
      </c>
      <c r="N179" s="2" t="s">
        <v>1688</v>
      </c>
      <c r="O179" s="2" t="s">
        <v>96</v>
      </c>
      <c r="P179" s="2" t="s">
        <v>1605</v>
      </c>
      <c r="Q179" s="2"/>
      <c r="R179" s="2" t="s">
        <v>1689</v>
      </c>
      <c r="S179" s="2" t="s">
        <v>1690</v>
      </c>
      <c r="T179" s="2" t="s">
        <v>1691</v>
      </c>
      <c r="U179" s="2"/>
      <c r="V179" s="7" t="s">
        <v>1692</v>
      </c>
    </row>
    <row r="180" customFormat="false" ht="74.6" hidden="false" customHeight="false" outlineLevel="0" collapsed="false">
      <c r="A180" s="2" t="s">
        <v>1693</v>
      </c>
      <c r="B180" s="2" t="s">
        <v>1694</v>
      </c>
      <c r="C180" s="12" t="s">
        <v>1578</v>
      </c>
      <c r="D180" s="2" t="s">
        <v>1659</v>
      </c>
      <c r="E180" s="2" t="s">
        <v>490</v>
      </c>
      <c r="F180" s="2" t="s">
        <v>77</v>
      </c>
      <c r="G180" s="2" t="s">
        <v>77</v>
      </c>
      <c r="H180" s="2" t="s">
        <v>1601</v>
      </c>
      <c r="I180" s="2" t="s">
        <v>96</v>
      </c>
      <c r="J180" s="2" t="s">
        <v>96</v>
      </c>
      <c r="K180" s="2" t="s">
        <v>1660</v>
      </c>
      <c r="L180" s="2" t="s">
        <v>553</v>
      </c>
      <c r="M180" s="2" t="s">
        <v>114</v>
      </c>
      <c r="N180" s="2" t="s">
        <v>1661</v>
      </c>
      <c r="O180" s="2" t="s">
        <v>96</v>
      </c>
      <c r="P180" s="2" t="s">
        <v>1605</v>
      </c>
      <c r="Q180" s="2"/>
      <c r="R180" s="2" t="s">
        <v>1662</v>
      </c>
      <c r="S180" s="2" t="s">
        <v>1695</v>
      </c>
      <c r="T180" s="2" t="s">
        <v>1696</v>
      </c>
      <c r="U180" s="2"/>
      <c r="V180" s="2"/>
    </row>
    <row r="181" customFormat="false" ht="53.7" hidden="false" customHeight="false" outlineLevel="0" collapsed="false">
      <c r="A181" s="2" t="s">
        <v>1697</v>
      </c>
      <c r="B181" s="2" t="s">
        <v>1698</v>
      </c>
      <c r="C181" s="12" t="s">
        <v>1578</v>
      </c>
      <c r="D181" s="2" t="s">
        <v>1699</v>
      </c>
      <c r="E181" s="2" t="s">
        <v>296</v>
      </c>
      <c r="F181" s="2" t="s">
        <v>77</v>
      </c>
      <c r="G181" s="2" t="s">
        <v>77</v>
      </c>
      <c r="H181" s="2" t="s">
        <v>656</v>
      </c>
      <c r="I181" s="2" t="s">
        <v>96</v>
      </c>
      <c r="J181" s="2" t="s">
        <v>96</v>
      </c>
      <c r="K181" s="2" t="s">
        <v>1700</v>
      </c>
      <c r="L181" s="2" t="s">
        <v>553</v>
      </c>
      <c r="M181" s="2" t="s">
        <v>114</v>
      </c>
      <c r="N181" s="2" t="s">
        <v>1677</v>
      </c>
      <c r="O181" s="2" t="s">
        <v>96</v>
      </c>
      <c r="P181" s="2" t="s">
        <v>258</v>
      </c>
      <c r="Q181" s="2" t="s">
        <v>1701</v>
      </c>
      <c r="R181" s="2"/>
      <c r="S181" s="2" t="s">
        <v>1702</v>
      </c>
      <c r="T181" s="2" t="s">
        <v>1703</v>
      </c>
      <c r="U181" s="2"/>
      <c r="V181" s="2"/>
    </row>
    <row r="182" customFormat="false" ht="74.6" hidden="false" customHeight="false" outlineLevel="0" collapsed="false">
      <c r="A182" s="2" t="s">
        <v>1704</v>
      </c>
      <c r="B182" s="2" t="s">
        <v>1705</v>
      </c>
      <c r="C182" s="12" t="s">
        <v>1578</v>
      </c>
      <c r="D182" s="2" t="s">
        <v>1706</v>
      </c>
      <c r="E182" s="2" t="s">
        <v>1425</v>
      </c>
      <c r="F182" s="4" t="s">
        <v>27</v>
      </c>
      <c r="G182" s="2" t="s">
        <v>77</v>
      </c>
      <c r="H182" s="2" t="s">
        <v>1707</v>
      </c>
      <c r="I182" s="2" t="s">
        <v>96</v>
      </c>
      <c r="J182" s="2" t="s">
        <v>96</v>
      </c>
      <c r="K182" s="2" t="s">
        <v>1581</v>
      </c>
      <c r="L182" s="2" t="s">
        <v>553</v>
      </c>
      <c r="M182" s="2" t="s">
        <v>114</v>
      </c>
      <c r="N182" s="2" t="s">
        <v>381</v>
      </c>
      <c r="O182" s="2" t="s">
        <v>96</v>
      </c>
      <c r="P182" s="2" t="s">
        <v>258</v>
      </c>
      <c r="Q182" s="2" t="s">
        <v>1708</v>
      </c>
      <c r="R182" s="2" t="s">
        <v>1709</v>
      </c>
      <c r="S182" s="2" t="s">
        <v>1710</v>
      </c>
      <c r="T182" s="2" t="s">
        <v>1711</v>
      </c>
      <c r="U182" s="2"/>
      <c r="V182" s="2"/>
    </row>
    <row r="183" customFormat="false" ht="74.6" hidden="false" customHeight="false" outlineLevel="0" collapsed="false">
      <c r="A183" s="2" t="s">
        <v>1712</v>
      </c>
      <c r="B183" s="2" t="s">
        <v>1713</v>
      </c>
      <c r="C183" s="12" t="s">
        <v>1578</v>
      </c>
      <c r="D183" s="2" t="s">
        <v>1706</v>
      </c>
      <c r="E183" s="2" t="s">
        <v>1425</v>
      </c>
      <c r="F183" s="4" t="s">
        <v>27</v>
      </c>
      <c r="G183" s="2" t="s">
        <v>77</v>
      </c>
      <c r="H183" s="2" t="s">
        <v>1707</v>
      </c>
      <c r="I183" s="2" t="s">
        <v>96</v>
      </c>
      <c r="J183" s="2" t="s">
        <v>96</v>
      </c>
      <c r="K183" s="2" t="s">
        <v>1581</v>
      </c>
      <c r="L183" s="2" t="s">
        <v>553</v>
      </c>
      <c r="M183" s="2" t="s">
        <v>114</v>
      </c>
      <c r="N183" s="2" t="s">
        <v>381</v>
      </c>
      <c r="O183" s="2" t="s">
        <v>96</v>
      </c>
      <c r="P183" s="2" t="s">
        <v>258</v>
      </c>
      <c r="Q183" s="2" t="s">
        <v>1714</v>
      </c>
      <c r="R183" s="2" t="s">
        <v>1709</v>
      </c>
      <c r="S183" s="2" t="s">
        <v>1710</v>
      </c>
      <c r="T183" s="2" t="s">
        <v>1711</v>
      </c>
      <c r="U183" s="2"/>
      <c r="V183" s="2"/>
    </row>
    <row r="184" customFormat="false" ht="43.25" hidden="false" customHeight="false" outlineLevel="0" collapsed="false">
      <c r="A184" s="2" t="s">
        <v>1715</v>
      </c>
      <c r="B184" s="2" t="s">
        <v>1716</v>
      </c>
      <c r="C184" s="12" t="s">
        <v>1578</v>
      </c>
      <c r="D184" s="2" t="s">
        <v>1717</v>
      </c>
      <c r="E184" s="2" t="s">
        <v>490</v>
      </c>
      <c r="F184" s="2" t="s">
        <v>77</v>
      </c>
      <c r="G184" s="2" t="s">
        <v>77</v>
      </c>
      <c r="H184" s="2" t="s">
        <v>1601</v>
      </c>
      <c r="I184" s="2" t="s">
        <v>492</v>
      </c>
      <c r="J184" s="2" t="s">
        <v>1718</v>
      </c>
      <c r="K184" s="2" t="s">
        <v>1719</v>
      </c>
      <c r="L184" s="2" t="s">
        <v>553</v>
      </c>
      <c r="M184" s="2" t="s">
        <v>114</v>
      </c>
      <c r="N184" s="2" t="s">
        <v>1720</v>
      </c>
      <c r="O184" s="2" t="s">
        <v>35</v>
      </c>
      <c r="P184" s="2" t="s">
        <v>1605</v>
      </c>
      <c r="Q184" s="2"/>
      <c r="R184" s="2" t="s">
        <v>1721</v>
      </c>
      <c r="S184" s="2"/>
      <c r="T184" s="2" t="s">
        <v>1722</v>
      </c>
      <c r="U184" s="2"/>
      <c r="V184" s="2"/>
    </row>
    <row r="185" customFormat="false" ht="43.25" hidden="false" customHeight="false" outlineLevel="0" collapsed="false">
      <c r="A185" s="2" t="s">
        <v>1723</v>
      </c>
      <c r="B185" s="2" t="s">
        <v>1724</v>
      </c>
      <c r="C185" s="12" t="s">
        <v>1578</v>
      </c>
      <c r="D185" s="2" t="s">
        <v>1725</v>
      </c>
      <c r="E185" s="2" t="s">
        <v>1425</v>
      </c>
      <c r="F185" s="4" t="s">
        <v>27</v>
      </c>
      <c r="G185" s="2" t="s">
        <v>77</v>
      </c>
      <c r="H185" s="2" t="s">
        <v>1707</v>
      </c>
      <c r="I185" s="2" t="s">
        <v>96</v>
      </c>
      <c r="J185" s="2" t="s">
        <v>96</v>
      </c>
      <c r="K185" s="2" t="s">
        <v>1581</v>
      </c>
      <c r="L185" s="2" t="s">
        <v>553</v>
      </c>
      <c r="M185" s="2" t="s">
        <v>114</v>
      </c>
      <c r="N185" s="2" t="s">
        <v>381</v>
      </c>
      <c r="O185" s="2" t="s">
        <v>96</v>
      </c>
      <c r="P185" s="2" t="s">
        <v>258</v>
      </c>
      <c r="Q185" s="2" t="s">
        <v>1726</v>
      </c>
      <c r="R185" s="2" t="s">
        <v>1727</v>
      </c>
      <c r="S185" s="2" t="s">
        <v>1728</v>
      </c>
      <c r="T185" s="2" t="s">
        <v>1729</v>
      </c>
      <c r="U185" s="2"/>
      <c r="V185" s="2"/>
    </row>
    <row r="186" customFormat="false" ht="43.25" hidden="false" customHeight="false" outlineLevel="0" collapsed="false">
      <c r="A186" s="2" t="s">
        <v>1730</v>
      </c>
      <c r="B186" s="2" t="s">
        <v>1731</v>
      </c>
      <c r="C186" s="12" t="s">
        <v>1578</v>
      </c>
      <c r="D186" s="2" t="s">
        <v>1732</v>
      </c>
      <c r="E186" s="2" t="s">
        <v>76</v>
      </c>
      <c r="F186" s="2" t="s">
        <v>77</v>
      </c>
      <c r="G186" s="2" t="s">
        <v>77</v>
      </c>
      <c r="H186" s="2" t="s">
        <v>402</v>
      </c>
      <c r="I186" s="2" t="s">
        <v>96</v>
      </c>
      <c r="J186" s="2" t="s">
        <v>96</v>
      </c>
      <c r="K186" s="2" t="s">
        <v>81</v>
      </c>
      <c r="L186" s="2" t="s">
        <v>553</v>
      </c>
      <c r="M186" s="2" t="s">
        <v>114</v>
      </c>
      <c r="N186" s="2" t="s">
        <v>381</v>
      </c>
      <c r="O186" s="2" t="s">
        <v>96</v>
      </c>
      <c r="P186" s="2" t="s">
        <v>1053</v>
      </c>
      <c r="Q186" s="2" t="s">
        <v>1733</v>
      </c>
      <c r="R186" s="2" t="s">
        <v>1734</v>
      </c>
      <c r="S186" s="2" t="s">
        <v>1735</v>
      </c>
      <c r="T186" s="2" t="s">
        <v>1736</v>
      </c>
      <c r="U186" s="2"/>
      <c r="V186" s="2"/>
    </row>
    <row r="187" customFormat="false" ht="168.65" hidden="false" customHeight="false" outlineLevel="0" collapsed="false">
      <c r="A187" s="2" t="s">
        <v>1737</v>
      </c>
      <c r="B187" s="2" t="s">
        <v>1738</v>
      </c>
      <c r="C187" s="12" t="s">
        <v>1578</v>
      </c>
      <c r="D187" s="2" t="s">
        <v>1739</v>
      </c>
      <c r="E187" s="2" t="s">
        <v>1051</v>
      </c>
      <c r="F187" s="2" t="s">
        <v>77</v>
      </c>
      <c r="G187" s="2" t="s">
        <v>77</v>
      </c>
      <c r="H187" s="2" t="s">
        <v>402</v>
      </c>
      <c r="I187" s="2" t="s">
        <v>96</v>
      </c>
      <c r="J187" s="2" t="s">
        <v>96</v>
      </c>
      <c r="K187" s="2" t="s">
        <v>1740</v>
      </c>
      <c r="L187" s="2" t="s">
        <v>1741</v>
      </c>
      <c r="M187" s="2" t="s">
        <v>1742</v>
      </c>
      <c r="N187" s="2" t="s">
        <v>1743</v>
      </c>
      <c r="O187" s="2" t="s">
        <v>35</v>
      </c>
      <c r="P187" s="2" t="s">
        <v>1744</v>
      </c>
      <c r="Q187" s="2" t="s">
        <v>1745</v>
      </c>
      <c r="R187" s="2" t="s">
        <v>1746</v>
      </c>
      <c r="S187" s="2" t="s">
        <v>1747</v>
      </c>
      <c r="T187" s="2" t="s">
        <v>1748</v>
      </c>
      <c r="U187" s="2" t="s">
        <v>1749</v>
      </c>
      <c r="V187" s="2"/>
    </row>
    <row r="188" customFormat="false" ht="53.7" hidden="false" customHeight="false" outlineLevel="0" collapsed="false">
      <c r="A188" s="2" t="s">
        <v>1750</v>
      </c>
      <c r="B188" s="2" t="s">
        <v>1751</v>
      </c>
      <c r="C188" s="12" t="s">
        <v>1578</v>
      </c>
      <c r="D188" s="2" t="s">
        <v>1699</v>
      </c>
      <c r="E188" s="2" t="s">
        <v>296</v>
      </c>
      <c r="F188" s="2" t="s">
        <v>77</v>
      </c>
      <c r="G188" s="2" t="s">
        <v>77</v>
      </c>
      <c r="H188" s="2" t="s">
        <v>656</v>
      </c>
      <c r="I188" s="2" t="s">
        <v>96</v>
      </c>
      <c r="J188" s="2" t="s">
        <v>96</v>
      </c>
      <c r="K188" s="2" t="s">
        <v>1700</v>
      </c>
      <c r="L188" s="2" t="s">
        <v>553</v>
      </c>
      <c r="M188" s="2" t="s">
        <v>114</v>
      </c>
      <c r="N188" s="2" t="s">
        <v>1677</v>
      </c>
      <c r="O188" s="2" t="s">
        <v>96</v>
      </c>
      <c r="P188" s="2" t="s">
        <v>258</v>
      </c>
      <c r="Q188" s="2" t="s">
        <v>1752</v>
      </c>
      <c r="R188" s="2"/>
      <c r="S188" s="2" t="s">
        <v>1702</v>
      </c>
      <c r="T188" s="2"/>
      <c r="U188" s="2"/>
      <c r="V188" s="7" t="s">
        <v>1753</v>
      </c>
    </row>
    <row r="189" customFormat="false" ht="85.05" hidden="false" customHeight="false" outlineLevel="0" collapsed="false">
      <c r="A189" s="2" t="s">
        <v>1754</v>
      </c>
      <c r="B189" s="2" t="s">
        <v>1755</v>
      </c>
      <c r="C189" s="12" t="s">
        <v>1578</v>
      </c>
      <c r="D189" s="2" t="s">
        <v>1756</v>
      </c>
      <c r="E189" s="2" t="s">
        <v>210</v>
      </c>
      <c r="F189" s="4" t="s">
        <v>27</v>
      </c>
      <c r="G189" s="2" t="s">
        <v>77</v>
      </c>
      <c r="H189" s="2" t="s">
        <v>1612</v>
      </c>
      <c r="I189" s="2" t="s">
        <v>96</v>
      </c>
      <c r="J189" s="2" t="s">
        <v>96</v>
      </c>
      <c r="K189" s="2" t="s">
        <v>1581</v>
      </c>
      <c r="L189" s="2" t="s">
        <v>553</v>
      </c>
      <c r="M189" s="2" t="s">
        <v>114</v>
      </c>
      <c r="N189" s="2" t="s">
        <v>1677</v>
      </c>
      <c r="O189" s="2" t="s">
        <v>96</v>
      </c>
      <c r="P189" s="2" t="s">
        <v>258</v>
      </c>
      <c r="Q189" s="2" t="s">
        <v>1757</v>
      </c>
      <c r="R189" s="2" t="s">
        <v>1758</v>
      </c>
      <c r="S189" s="2" t="s">
        <v>1759</v>
      </c>
      <c r="T189" s="2" t="s">
        <v>1711</v>
      </c>
      <c r="U189" s="2"/>
      <c r="V189" s="2"/>
    </row>
    <row r="190" customFormat="false" ht="74.6" hidden="false" customHeight="false" outlineLevel="0" collapsed="false">
      <c r="A190" s="2" t="s">
        <v>1760</v>
      </c>
      <c r="B190" s="2" t="s">
        <v>1761</v>
      </c>
      <c r="C190" s="12" t="s">
        <v>1578</v>
      </c>
      <c r="D190" s="2" t="s">
        <v>1762</v>
      </c>
      <c r="E190" s="2" t="s">
        <v>1051</v>
      </c>
      <c r="F190" s="2" t="s">
        <v>77</v>
      </c>
      <c r="G190" s="2" t="s">
        <v>77</v>
      </c>
      <c r="H190" s="2" t="s">
        <v>402</v>
      </c>
      <c r="I190" s="2" t="s">
        <v>96</v>
      </c>
      <c r="J190" s="2" t="s">
        <v>96</v>
      </c>
      <c r="K190" s="2" t="s">
        <v>81</v>
      </c>
      <c r="L190" s="2" t="s">
        <v>553</v>
      </c>
      <c r="M190" s="2" t="s">
        <v>114</v>
      </c>
      <c r="N190" s="2" t="s">
        <v>1763</v>
      </c>
      <c r="O190" s="2" t="s">
        <v>35</v>
      </c>
      <c r="P190" s="2" t="s">
        <v>1053</v>
      </c>
      <c r="Q190" s="2" t="s">
        <v>1764</v>
      </c>
      <c r="R190" s="2" t="s">
        <v>1765</v>
      </c>
      <c r="S190" s="2"/>
      <c r="T190" s="2" t="s">
        <v>1766</v>
      </c>
      <c r="U190" s="2" t="s">
        <v>1767</v>
      </c>
      <c r="V190" s="2"/>
    </row>
    <row r="191" customFormat="false" ht="376.85" hidden="false" customHeight="false" outlineLevel="0" collapsed="false">
      <c r="A191" s="2" t="s">
        <v>1768</v>
      </c>
      <c r="B191" s="2" t="s">
        <v>1769</v>
      </c>
      <c r="C191" s="12" t="s">
        <v>1578</v>
      </c>
      <c r="D191" s="2" t="s">
        <v>1770</v>
      </c>
      <c r="E191" s="2" t="s">
        <v>490</v>
      </c>
      <c r="F191" s="2" t="s">
        <v>77</v>
      </c>
      <c r="G191" s="2" t="s">
        <v>77</v>
      </c>
      <c r="H191" s="2" t="s">
        <v>1771</v>
      </c>
      <c r="I191" s="2" t="s">
        <v>492</v>
      </c>
      <c r="J191" s="2" t="s">
        <v>1772</v>
      </c>
      <c r="K191" s="2" t="s">
        <v>1773</v>
      </c>
      <c r="L191" s="2" t="s">
        <v>1774</v>
      </c>
      <c r="M191" s="2" t="s">
        <v>1775</v>
      </c>
      <c r="N191" s="2" t="s">
        <v>1776</v>
      </c>
      <c r="O191" s="2" t="s">
        <v>35</v>
      </c>
      <c r="P191" s="2" t="s">
        <v>1777</v>
      </c>
      <c r="Q191" s="2" t="s">
        <v>1778</v>
      </c>
      <c r="R191" s="2" t="s">
        <v>1779</v>
      </c>
      <c r="S191" s="2" t="s">
        <v>1780</v>
      </c>
      <c r="T191" s="2" t="s">
        <v>1781</v>
      </c>
      <c r="U191" s="2" t="s">
        <v>1782</v>
      </c>
      <c r="V191" s="2"/>
    </row>
    <row r="192" customFormat="false" ht="43.25" hidden="false" customHeight="false" outlineLevel="0" collapsed="false">
      <c r="A192" s="2" t="s">
        <v>1783</v>
      </c>
      <c r="B192" s="2" t="s">
        <v>1784</v>
      </c>
      <c r="C192" s="12" t="s">
        <v>1578</v>
      </c>
      <c r="D192" s="2" t="s">
        <v>1725</v>
      </c>
      <c r="E192" s="2" t="s">
        <v>1425</v>
      </c>
      <c r="F192" s="4" t="s">
        <v>27</v>
      </c>
      <c r="G192" s="2" t="s">
        <v>77</v>
      </c>
      <c r="H192" s="2" t="s">
        <v>1707</v>
      </c>
      <c r="I192" s="2" t="s">
        <v>96</v>
      </c>
      <c r="J192" s="2" t="s">
        <v>96</v>
      </c>
      <c r="K192" s="2" t="s">
        <v>1581</v>
      </c>
      <c r="L192" s="2" t="s">
        <v>553</v>
      </c>
      <c r="M192" s="2" t="s">
        <v>114</v>
      </c>
      <c r="N192" s="2" t="s">
        <v>381</v>
      </c>
      <c r="O192" s="2" t="s">
        <v>96</v>
      </c>
      <c r="P192" s="2" t="s">
        <v>258</v>
      </c>
      <c r="Q192" s="2" t="s">
        <v>1726</v>
      </c>
      <c r="R192" s="2" t="s">
        <v>1727</v>
      </c>
      <c r="S192" s="2" t="s">
        <v>1728</v>
      </c>
      <c r="T192" s="2" t="s">
        <v>1729</v>
      </c>
      <c r="U192" s="2"/>
      <c r="V192" s="2"/>
    </row>
    <row r="193" customFormat="false" ht="74.6" hidden="false" customHeight="false" outlineLevel="0" collapsed="false">
      <c r="A193" s="2" t="s">
        <v>1785</v>
      </c>
      <c r="B193" s="2" t="s">
        <v>1786</v>
      </c>
      <c r="C193" s="12" t="s">
        <v>1578</v>
      </c>
      <c r="D193" s="2" t="s">
        <v>1706</v>
      </c>
      <c r="E193" s="2" t="s">
        <v>1425</v>
      </c>
      <c r="F193" s="4" t="s">
        <v>27</v>
      </c>
      <c r="G193" s="2" t="s">
        <v>77</v>
      </c>
      <c r="H193" s="2" t="s">
        <v>1707</v>
      </c>
      <c r="I193" s="2" t="s">
        <v>96</v>
      </c>
      <c r="J193" s="2" t="s">
        <v>96</v>
      </c>
      <c r="K193" s="2" t="s">
        <v>1581</v>
      </c>
      <c r="L193" s="2" t="s">
        <v>553</v>
      </c>
      <c r="M193" s="2" t="s">
        <v>114</v>
      </c>
      <c r="N193" s="2" t="s">
        <v>381</v>
      </c>
      <c r="O193" s="2" t="s">
        <v>96</v>
      </c>
      <c r="P193" s="2" t="s">
        <v>258</v>
      </c>
      <c r="Q193" s="2" t="s">
        <v>1787</v>
      </c>
      <c r="R193" s="2" t="s">
        <v>1709</v>
      </c>
      <c r="S193" s="2" t="s">
        <v>1710</v>
      </c>
      <c r="T193" s="2" t="s">
        <v>1711</v>
      </c>
      <c r="U193" s="2"/>
      <c r="V193" s="2"/>
    </row>
    <row r="194" customFormat="false" ht="43.25" hidden="false" customHeight="false" outlineLevel="0" collapsed="false">
      <c r="A194" s="2" t="s">
        <v>1788</v>
      </c>
      <c r="B194" s="2" t="s">
        <v>1789</v>
      </c>
      <c r="C194" s="12" t="s">
        <v>1578</v>
      </c>
      <c r="D194" s="2" t="s">
        <v>1790</v>
      </c>
      <c r="E194" s="2" t="s">
        <v>210</v>
      </c>
      <c r="F194" s="4" t="s">
        <v>27</v>
      </c>
      <c r="G194" s="2" t="s">
        <v>77</v>
      </c>
      <c r="H194" s="2" t="s">
        <v>1791</v>
      </c>
      <c r="I194" s="2" t="s">
        <v>96</v>
      </c>
      <c r="J194" s="2" t="s">
        <v>96</v>
      </c>
      <c r="K194" s="2" t="s">
        <v>1792</v>
      </c>
      <c r="L194" s="2" t="s">
        <v>553</v>
      </c>
      <c r="M194" s="2" t="s">
        <v>114</v>
      </c>
      <c r="N194" s="2" t="s">
        <v>381</v>
      </c>
      <c r="O194" s="2" t="s">
        <v>96</v>
      </c>
      <c r="P194" s="2" t="s">
        <v>258</v>
      </c>
      <c r="Q194" s="2" t="s">
        <v>1793</v>
      </c>
      <c r="R194" s="2"/>
      <c r="S194" s="2" t="s">
        <v>1794</v>
      </c>
      <c r="T194" s="2" t="s">
        <v>1795</v>
      </c>
      <c r="U194" s="2"/>
      <c r="V194" s="2"/>
    </row>
    <row r="195" customFormat="false" ht="43.25" hidden="false" customHeight="false" outlineLevel="0" collapsed="false">
      <c r="A195" s="2" t="s">
        <v>1796</v>
      </c>
      <c r="B195" s="2" t="s">
        <v>1797</v>
      </c>
      <c r="C195" s="12" t="s">
        <v>1578</v>
      </c>
      <c r="D195" s="2" t="s">
        <v>1798</v>
      </c>
      <c r="E195" s="2" t="s">
        <v>296</v>
      </c>
      <c r="F195" s="4" t="s">
        <v>27</v>
      </c>
      <c r="G195" s="2" t="s">
        <v>77</v>
      </c>
      <c r="H195" s="2" t="s">
        <v>1799</v>
      </c>
      <c r="I195" s="2" t="s">
        <v>96</v>
      </c>
      <c r="J195" s="2" t="s">
        <v>96</v>
      </c>
      <c r="K195" s="2" t="s">
        <v>1581</v>
      </c>
      <c r="L195" s="2" t="s">
        <v>553</v>
      </c>
      <c r="M195" s="2" t="s">
        <v>114</v>
      </c>
      <c r="N195" s="2" t="s">
        <v>1800</v>
      </c>
      <c r="O195" s="2" t="s">
        <v>96</v>
      </c>
      <c r="P195" s="2" t="s">
        <v>258</v>
      </c>
      <c r="Q195" s="2" t="s">
        <v>1801</v>
      </c>
      <c r="R195" s="2" t="s">
        <v>1802</v>
      </c>
      <c r="S195" s="2" t="s">
        <v>1803</v>
      </c>
      <c r="T195" s="2" t="s">
        <v>262</v>
      </c>
      <c r="U195" s="2"/>
      <c r="V195" s="2"/>
    </row>
    <row r="196" customFormat="false" ht="158.2" hidden="false" customHeight="false" outlineLevel="0" collapsed="false">
      <c r="A196" s="2" t="s">
        <v>1804</v>
      </c>
      <c r="B196" s="2" t="s">
        <v>1805</v>
      </c>
      <c r="C196" s="12" t="s">
        <v>1578</v>
      </c>
      <c r="D196" s="2" t="s">
        <v>1806</v>
      </c>
      <c r="E196" s="2" t="s">
        <v>1807</v>
      </c>
      <c r="F196" s="2" t="s">
        <v>77</v>
      </c>
      <c r="G196" s="2" t="s">
        <v>77</v>
      </c>
      <c r="H196" s="2" t="s">
        <v>1807</v>
      </c>
      <c r="I196" s="2" t="s">
        <v>1053</v>
      </c>
      <c r="J196" s="2" t="s">
        <v>1808</v>
      </c>
      <c r="K196" s="2" t="s">
        <v>1809</v>
      </c>
      <c r="L196" s="2" t="s">
        <v>1742</v>
      </c>
      <c r="M196" s="2" t="s">
        <v>1742</v>
      </c>
      <c r="N196" s="2" t="s">
        <v>1810</v>
      </c>
      <c r="O196" s="2" t="s">
        <v>35</v>
      </c>
      <c r="P196" s="2" t="s">
        <v>1605</v>
      </c>
      <c r="Q196" s="2"/>
      <c r="R196" s="2" t="s">
        <v>1811</v>
      </c>
      <c r="S196" s="2"/>
      <c r="T196" s="2"/>
      <c r="U196" s="2" t="s">
        <v>1812</v>
      </c>
      <c r="V196" s="2"/>
    </row>
    <row r="197" customFormat="false" ht="43.25" hidden="false" customHeight="false" outlineLevel="0" collapsed="false">
      <c r="A197" s="2" t="s">
        <v>1813</v>
      </c>
      <c r="B197" s="2" t="s">
        <v>1814</v>
      </c>
      <c r="C197" s="12" t="s">
        <v>1578</v>
      </c>
      <c r="D197" s="2" t="s">
        <v>1815</v>
      </c>
      <c r="E197" s="2" t="s">
        <v>296</v>
      </c>
      <c r="F197" s="2" t="s">
        <v>77</v>
      </c>
      <c r="G197" s="2" t="s">
        <v>77</v>
      </c>
      <c r="H197" s="2" t="s">
        <v>1816</v>
      </c>
      <c r="I197" s="2" t="s">
        <v>1053</v>
      </c>
      <c r="J197" s="2" t="s">
        <v>1817</v>
      </c>
      <c r="K197" s="2" t="s">
        <v>1818</v>
      </c>
      <c r="L197" s="2" t="s">
        <v>553</v>
      </c>
      <c r="M197" s="2" t="s">
        <v>114</v>
      </c>
      <c r="N197" s="2" t="s">
        <v>1661</v>
      </c>
      <c r="O197" s="2" t="s">
        <v>96</v>
      </c>
      <c r="P197" s="2" t="s">
        <v>1605</v>
      </c>
      <c r="Q197" s="2"/>
      <c r="R197" s="2"/>
      <c r="S197" s="2" t="s">
        <v>1819</v>
      </c>
      <c r="T197" s="2" t="s">
        <v>1820</v>
      </c>
      <c r="U197" s="2"/>
      <c r="V197" s="2"/>
    </row>
    <row r="198" customFormat="false" ht="43.25" hidden="false" customHeight="false" outlineLevel="0" collapsed="false">
      <c r="A198" s="2" t="s">
        <v>1821</v>
      </c>
      <c r="B198" s="2" t="s">
        <v>1822</v>
      </c>
      <c r="C198" s="12" t="s">
        <v>1578</v>
      </c>
      <c r="D198" s="2" t="s">
        <v>1725</v>
      </c>
      <c r="E198" s="2" t="s">
        <v>1425</v>
      </c>
      <c r="F198" s="4" t="s">
        <v>27</v>
      </c>
      <c r="G198" s="2" t="s">
        <v>77</v>
      </c>
      <c r="H198" s="2" t="s">
        <v>1707</v>
      </c>
      <c r="I198" s="2" t="s">
        <v>96</v>
      </c>
      <c r="J198" s="2" t="s">
        <v>96</v>
      </c>
      <c r="K198" s="2" t="s">
        <v>1581</v>
      </c>
      <c r="L198" s="2" t="s">
        <v>553</v>
      </c>
      <c r="M198" s="2" t="s">
        <v>114</v>
      </c>
      <c r="N198" s="2" t="s">
        <v>381</v>
      </c>
      <c r="O198" s="2" t="s">
        <v>96</v>
      </c>
      <c r="P198" s="2" t="s">
        <v>258</v>
      </c>
      <c r="Q198" s="2" t="s">
        <v>1726</v>
      </c>
      <c r="R198" s="2" t="s">
        <v>1727</v>
      </c>
      <c r="S198" s="2" t="s">
        <v>1728</v>
      </c>
      <c r="T198" s="2" t="s">
        <v>1729</v>
      </c>
      <c r="U198" s="2"/>
      <c r="V198" s="2"/>
    </row>
    <row r="199" customFormat="false" ht="43.25" hidden="false" customHeight="false" outlineLevel="0" collapsed="false">
      <c r="A199" s="2" t="s">
        <v>1823</v>
      </c>
      <c r="B199" s="2" t="s">
        <v>1824</v>
      </c>
      <c r="C199" s="12" t="s">
        <v>1578</v>
      </c>
      <c r="D199" s="2" t="s">
        <v>1725</v>
      </c>
      <c r="E199" s="2" t="s">
        <v>1425</v>
      </c>
      <c r="F199" s="4" t="s">
        <v>27</v>
      </c>
      <c r="G199" s="2" t="s">
        <v>77</v>
      </c>
      <c r="H199" s="2" t="s">
        <v>1707</v>
      </c>
      <c r="I199" s="2" t="s">
        <v>96</v>
      </c>
      <c r="J199" s="2" t="s">
        <v>96</v>
      </c>
      <c r="K199" s="2" t="s">
        <v>1581</v>
      </c>
      <c r="L199" s="2" t="s">
        <v>553</v>
      </c>
      <c r="M199" s="2" t="s">
        <v>114</v>
      </c>
      <c r="N199" s="2" t="s">
        <v>381</v>
      </c>
      <c r="O199" s="2" t="s">
        <v>96</v>
      </c>
      <c r="P199" s="2" t="s">
        <v>258</v>
      </c>
      <c r="Q199" s="2" t="s">
        <v>1825</v>
      </c>
      <c r="R199" s="2" t="s">
        <v>1727</v>
      </c>
      <c r="S199" s="2" t="s">
        <v>1728</v>
      </c>
      <c r="T199" s="2" t="s">
        <v>1729</v>
      </c>
      <c r="U199" s="2"/>
      <c r="V199" s="2"/>
    </row>
    <row r="200" customFormat="false" ht="53.7" hidden="false" customHeight="false" outlineLevel="0" collapsed="false">
      <c r="A200" s="2" t="s">
        <v>1826</v>
      </c>
      <c r="B200" s="2" t="s">
        <v>1827</v>
      </c>
      <c r="C200" s="12" t="s">
        <v>1578</v>
      </c>
      <c r="D200" s="2" t="s">
        <v>1828</v>
      </c>
      <c r="E200" s="2" t="s">
        <v>529</v>
      </c>
      <c r="F200" s="2" t="s">
        <v>77</v>
      </c>
      <c r="G200" s="2" t="s">
        <v>77</v>
      </c>
      <c r="H200" s="2" t="s">
        <v>1829</v>
      </c>
      <c r="I200" s="2" t="s">
        <v>1053</v>
      </c>
      <c r="J200" s="2" t="s">
        <v>1830</v>
      </c>
      <c r="K200" s="2" t="s">
        <v>1831</v>
      </c>
      <c r="L200" s="2" t="s">
        <v>553</v>
      </c>
      <c r="M200" s="2" t="s">
        <v>114</v>
      </c>
      <c r="N200" s="2" t="s">
        <v>1661</v>
      </c>
      <c r="O200" s="2" t="s">
        <v>96</v>
      </c>
      <c r="P200" s="2" t="s">
        <v>1605</v>
      </c>
      <c r="Q200" s="2" t="s">
        <v>1832</v>
      </c>
      <c r="R200" s="2" t="s">
        <v>1833</v>
      </c>
      <c r="S200" s="2"/>
      <c r="T200" s="2" t="s">
        <v>1834</v>
      </c>
      <c r="U200" s="2"/>
      <c r="V200" s="2"/>
    </row>
    <row r="201" customFormat="false" ht="53.7" hidden="false" customHeight="false" outlineLevel="0" collapsed="false">
      <c r="A201" s="2" t="s">
        <v>1835</v>
      </c>
      <c r="B201" s="2" t="s">
        <v>1836</v>
      </c>
      <c r="C201" s="12" t="s">
        <v>1578</v>
      </c>
      <c r="D201" s="2" t="s">
        <v>1699</v>
      </c>
      <c r="E201" s="2" t="s">
        <v>296</v>
      </c>
      <c r="F201" s="2" t="s">
        <v>77</v>
      </c>
      <c r="G201" s="2" t="s">
        <v>77</v>
      </c>
      <c r="H201" s="2" t="s">
        <v>656</v>
      </c>
      <c r="I201" s="2" t="s">
        <v>96</v>
      </c>
      <c r="J201" s="2" t="s">
        <v>96</v>
      </c>
      <c r="K201" s="2" t="s">
        <v>1700</v>
      </c>
      <c r="L201" s="2" t="s">
        <v>553</v>
      </c>
      <c r="M201" s="2" t="s">
        <v>114</v>
      </c>
      <c r="N201" s="2" t="s">
        <v>1677</v>
      </c>
      <c r="O201" s="2" t="s">
        <v>96</v>
      </c>
      <c r="P201" s="2" t="s">
        <v>258</v>
      </c>
      <c r="Q201" s="2" t="s">
        <v>1837</v>
      </c>
      <c r="R201" s="2"/>
      <c r="S201" s="2" t="s">
        <v>1702</v>
      </c>
      <c r="T201" s="2" t="s">
        <v>1838</v>
      </c>
      <c r="U201" s="2"/>
      <c r="V201" s="2"/>
    </row>
    <row r="202" customFormat="false" ht="273.1" hidden="false" customHeight="false" outlineLevel="0" collapsed="false">
      <c r="A202" s="2" t="s">
        <v>1839</v>
      </c>
      <c r="B202" s="2" t="s">
        <v>1840</v>
      </c>
      <c r="C202" s="12" t="s">
        <v>1578</v>
      </c>
      <c r="D202" s="2" t="s">
        <v>1841</v>
      </c>
      <c r="E202" s="2" t="s">
        <v>76</v>
      </c>
      <c r="F202" s="4" t="s">
        <v>27</v>
      </c>
      <c r="G202" s="2" t="s">
        <v>77</v>
      </c>
      <c r="H202" s="2" t="s">
        <v>1842</v>
      </c>
      <c r="I202" s="2" t="s">
        <v>492</v>
      </c>
      <c r="J202" s="2" t="s">
        <v>1843</v>
      </c>
      <c r="K202" s="2" t="s">
        <v>1740</v>
      </c>
      <c r="L202" s="2" t="s">
        <v>1844</v>
      </c>
      <c r="M202" s="2" t="s">
        <v>1845</v>
      </c>
      <c r="N202" s="2" t="s">
        <v>1846</v>
      </c>
      <c r="O202" s="2" t="s">
        <v>35</v>
      </c>
      <c r="P202" s="2" t="s">
        <v>1847</v>
      </c>
      <c r="Q202" s="2" t="s">
        <v>1848</v>
      </c>
      <c r="R202" s="2" t="s">
        <v>1849</v>
      </c>
      <c r="S202" s="2" t="s">
        <v>1850</v>
      </c>
      <c r="T202" s="2" t="s">
        <v>1851</v>
      </c>
      <c r="U202" s="2" t="s">
        <v>1852</v>
      </c>
      <c r="V202" s="2"/>
    </row>
    <row r="203" customFormat="false" ht="22.35" hidden="false" customHeight="false" outlineLevel="0" collapsed="false">
      <c r="A203" s="2" t="s">
        <v>1853</v>
      </c>
      <c r="B203" s="2" t="s">
        <v>1854</v>
      </c>
      <c r="C203" s="12" t="s">
        <v>1578</v>
      </c>
      <c r="D203" s="2" t="s">
        <v>1855</v>
      </c>
      <c r="E203" s="2" t="s">
        <v>1051</v>
      </c>
      <c r="F203" s="2" t="s">
        <v>77</v>
      </c>
      <c r="G203" s="2" t="s">
        <v>77</v>
      </c>
      <c r="H203" s="2" t="s">
        <v>402</v>
      </c>
      <c r="I203" s="2" t="s">
        <v>96</v>
      </c>
      <c r="J203" s="2" t="s">
        <v>96</v>
      </c>
      <c r="K203" s="2" t="s">
        <v>1581</v>
      </c>
      <c r="L203" s="2" t="s">
        <v>553</v>
      </c>
      <c r="M203" s="2" t="s">
        <v>114</v>
      </c>
      <c r="N203" s="2" t="s">
        <v>381</v>
      </c>
      <c r="O203" s="2" t="s">
        <v>96</v>
      </c>
      <c r="P203" s="2" t="s">
        <v>1053</v>
      </c>
      <c r="Q203" s="2" t="s">
        <v>1856</v>
      </c>
      <c r="R203" s="2"/>
      <c r="S203" s="2"/>
      <c r="T203" s="2" t="s">
        <v>1857</v>
      </c>
      <c r="U203" s="2"/>
      <c r="V203" s="2"/>
    </row>
    <row r="204" customFormat="false" ht="85.05" hidden="false" customHeight="false" outlineLevel="0" collapsed="false">
      <c r="A204" s="2" t="s">
        <v>1858</v>
      </c>
      <c r="B204" s="2" t="s">
        <v>1859</v>
      </c>
      <c r="C204" s="12" t="s">
        <v>1578</v>
      </c>
      <c r="D204" s="2" t="s">
        <v>1860</v>
      </c>
      <c r="E204" s="2" t="s">
        <v>76</v>
      </c>
      <c r="F204" s="4" t="s">
        <v>27</v>
      </c>
      <c r="G204" s="2" t="s">
        <v>77</v>
      </c>
      <c r="H204" s="2" t="s">
        <v>751</v>
      </c>
      <c r="I204" s="2" t="s">
        <v>96</v>
      </c>
      <c r="J204" s="2" t="s">
        <v>96</v>
      </c>
      <c r="K204" s="2" t="s">
        <v>1581</v>
      </c>
      <c r="L204" s="2" t="s">
        <v>553</v>
      </c>
      <c r="M204" s="2" t="s">
        <v>114</v>
      </c>
      <c r="N204" s="2" t="s">
        <v>1861</v>
      </c>
      <c r="O204" s="2" t="s">
        <v>96</v>
      </c>
      <c r="P204" s="2" t="s">
        <v>258</v>
      </c>
      <c r="Q204" s="2" t="s">
        <v>1862</v>
      </c>
      <c r="R204" s="2" t="s">
        <v>1863</v>
      </c>
      <c r="S204" s="2" t="s">
        <v>1864</v>
      </c>
      <c r="T204" s="2" t="s">
        <v>1865</v>
      </c>
      <c r="U204" s="2"/>
      <c r="V204" s="2"/>
    </row>
    <row r="205" customFormat="false" ht="137.3" hidden="false" customHeight="false" outlineLevel="0" collapsed="false">
      <c r="A205" s="2" t="s">
        <v>1866</v>
      </c>
      <c r="B205" s="2" t="s">
        <v>1867</v>
      </c>
      <c r="C205" s="12" t="s">
        <v>1578</v>
      </c>
      <c r="D205" s="2" t="s">
        <v>1868</v>
      </c>
      <c r="E205" s="2" t="s">
        <v>210</v>
      </c>
      <c r="F205" s="4" t="s">
        <v>27</v>
      </c>
      <c r="G205" s="2" t="s">
        <v>77</v>
      </c>
      <c r="H205" s="2" t="s">
        <v>1869</v>
      </c>
      <c r="I205" s="2" t="s">
        <v>96</v>
      </c>
      <c r="J205" s="2" t="s">
        <v>96</v>
      </c>
      <c r="K205" s="2" t="s">
        <v>1581</v>
      </c>
      <c r="L205" s="2" t="s">
        <v>553</v>
      </c>
      <c r="M205" s="2" t="s">
        <v>114</v>
      </c>
      <c r="N205" s="2" t="s">
        <v>1677</v>
      </c>
      <c r="O205" s="2" t="s">
        <v>96</v>
      </c>
      <c r="P205" s="2" t="s">
        <v>258</v>
      </c>
      <c r="Q205" s="2" t="s">
        <v>1870</v>
      </c>
      <c r="R205" s="2" t="s">
        <v>1871</v>
      </c>
      <c r="S205" s="2" t="s">
        <v>1872</v>
      </c>
      <c r="T205" s="2" t="s">
        <v>1873</v>
      </c>
      <c r="U205" s="2"/>
      <c r="V205" s="2"/>
    </row>
    <row r="206" customFormat="false" ht="43.25" hidden="false" customHeight="false" outlineLevel="0" collapsed="false">
      <c r="A206" s="2" t="s">
        <v>1874</v>
      </c>
      <c r="B206" s="2" t="s">
        <v>1875</v>
      </c>
      <c r="C206" s="12" t="s">
        <v>1578</v>
      </c>
      <c r="D206" s="2" t="s">
        <v>1725</v>
      </c>
      <c r="E206" s="2" t="s">
        <v>1425</v>
      </c>
      <c r="F206" s="4" t="s">
        <v>27</v>
      </c>
      <c r="G206" s="2" t="s">
        <v>77</v>
      </c>
      <c r="H206" s="2" t="s">
        <v>1707</v>
      </c>
      <c r="I206" s="2" t="s">
        <v>96</v>
      </c>
      <c r="J206" s="2" t="s">
        <v>96</v>
      </c>
      <c r="K206" s="2" t="s">
        <v>1581</v>
      </c>
      <c r="L206" s="2" t="s">
        <v>553</v>
      </c>
      <c r="M206" s="2" t="s">
        <v>114</v>
      </c>
      <c r="N206" s="2" t="s">
        <v>381</v>
      </c>
      <c r="O206" s="2" t="s">
        <v>96</v>
      </c>
      <c r="P206" s="2" t="s">
        <v>258</v>
      </c>
      <c r="Q206" s="2" t="s">
        <v>1726</v>
      </c>
      <c r="R206" s="2" t="s">
        <v>1727</v>
      </c>
      <c r="S206" s="2" t="s">
        <v>1728</v>
      </c>
      <c r="T206" s="2" t="s">
        <v>1729</v>
      </c>
      <c r="U206" s="2"/>
      <c r="V206" s="2"/>
    </row>
    <row r="207" customFormat="false" ht="43.25" hidden="false" customHeight="false" outlineLevel="0" collapsed="false">
      <c r="A207" s="2" t="s">
        <v>1876</v>
      </c>
      <c r="B207" s="2" t="s">
        <v>1877</v>
      </c>
      <c r="C207" s="12" t="s">
        <v>1578</v>
      </c>
      <c r="D207" s="2" t="s">
        <v>1878</v>
      </c>
      <c r="E207" s="2" t="s">
        <v>490</v>
      </c>
      <c r="F207" s="2" t="s">
        <v>77</v>
      </c>
      <c r="G207" s="2" t="s">
        <v>77</v>
      </c>
      <c r="H207" s="2" t="s">
        <v>1879</v>
      </c>
      <c r="I207" s="2" t="s">
        <v>492</v>
      </c>
      <c r="J207" s="2" t="s">
        <v>1880</v>
      </c>
      <c r="K207" s="2" t="s">
        <v>1881</v>
      </c>
      <c r="L207" s="2" t="s">
        <v>553</v>
      </c>
      <c r="M207" s="2" t="s">
        <v>114</v>
      </c>
      <c r="N207" s="2" t="s">
        <v>1882</v>
      </c>
      <c r="O207" s="2" t="s">
        <v>51</v>
      </c>
      <c r="P207" s="2" t="s">
        <v>1605</v>
      </c>
      <c r="Q207" s="2"/>
      <c r="R207" s="2" t="s">
        <v>1883</v>
      </c>
      <c r="S207" s="2"/>
      <c r="T207" s="2"/>
      <c r="U207" s="2"/>
      <c r="V207" s="2"/>
    </row>
    <row r="208" customFormat="false" ht="64.15" hidden="false" customHeight="false" outlineLevel="0" collapsed="false">
      <c r="A208" s="2" t="s">
        <v>1884</v>
      </c>
      <c r="B208" s="2" t="s">
        <v>1885</v>
      </c>
      <c r="C208" s="12" t="s">
        <v>1578</v>
      </c>
      <c r="D208" s="2" t="s">
        <v>1828</v>
      </c>
      <c r="E208" s="2" t="s">
        <v>529</v>
      </c>
      <c r="F208" s="2" t="s">
        <v>77</v>
      </c>
      <c r="G208" s="2" t="s">
        <v>77</v>
      </c>
      <c r="H208" s="2" t="s">
        <v>1829</v>
      </c>
      <c r="I208" s="2" t="s">
        <v>1053</v>
      </c>
      <c r="J208" s="2" t="s">
        <v>1886</v>
      </c>
      <c r="K208" s="2" t="s">
        <v>1831</v>
      </c>
      <c r="L208" s="2" t="s">
        <v>553</v>
      </c>
      <c r="M208" s="2" t="s">
        <v>114</v>
      </c>
      <c r="N208" s="2" t="s">
        <v>1661</v>
      </c>
      <c r="O208" s="2" t="s">
        <v>96</v>
      </c>
      <c r="P208" s="2" t="s">
        <v>1605</v>
      </c>
      <c r="Q208" s="2" t="s">
        <v>1887</v>
      </c>
      <c r="R208" s="2" t="s">
        <v>1833</v>
      </c>
      <c r="S208" s="2"/>
      <c r="T208" s="2" t="s">
        <v>1834</v>
      </c>
      <c r="U208" s="2"/>
      <c r="V208" s="2"/>
    </row>
    <row r="209" customFormat="false" ht="116.4" hidden="false" customHeight="false" outlineLevel="0" collapsed="false">
      <c r="A209" s="2" t="s">
        <v>1888</v>
      </c>
      <c r="B209" s="2" t="s">
        <v>1889</v>
      </c>
      <c r="C209" s="12" t="s">
        <v>1578</v>
      </c>
      <c r="D209" s="2" t="s">
        <v>1699</v>
      </c>
      <c r="E209" s="2" t="s">
        <v>296</v>
      </c>
      <c r="F209" s="2" t="s">
        <v>77</v>
      </c>
      <c r="G209" s="2" t="s">
        <v>77</v>
      </c>
      <c r="H209" s="2" t="s">
        <v>656</v>
      </c>
      <c r="I209" s="2" t="s">
        <v>492</v>
      </c>
      <c r="J209" s="2" t="s">
        <v>1890</v>
      </c>
      <c r="K209" s="2" t="s">
        <v>1700</v>
      </c>
      <c r="L209" s="2" t="s">
        <v>553</v>
      </c>
      <c r="M209" s="2" t="s">
        <v>114</v>
      </c>
      <c r="N209" s="2" t="s">
        <v>1677</v>
      </c>
      <c r="O209" s="2" t="s">
        <v>96</v>
      </c>
      <c r="P209" s="2" t="s">
        <v>258</v>
      </c>
      <c r="Q209" s="2" t="s">
        <v>1891</v>
      </c>
      <c r="R209" s="2"/>
      <c r="S209" s="2" t="s">
        <v>1702</v>
      </c>
      <c r="T209" s="2" t="s">
        <v>1892</v>
      </c>
      <c r="U209" s="2"/>
      <c r="V209" s="2"/>
    </row>
    <row r="210" customFormat="false" ht="74.6" hidden="false" customHeight="false" outlineLevel="0" collapsed="false">
      <c r="A210" s="2" t="s">
        <v>1893</v>
      </c>
      <c r="B210" s="2" t="s">
        <v>1894</v>
      </c>
      <c r="C210" s="12" t="s">
        <v>1578</v>
      </c>
      <c r="D210" s="2" t="s">
        <v>1706</v>
      </c>
      <c r="E210" s="2" t="s">
        <v>1425</v>
      </c>
      <c r="F210" s="4" t="s">
        <v>27</v>
      </c>
      <c r="G210" s="2" t="s">
        <v>77</v>
      </c>
      <c r="H210" s="2" t="s">
        <v>1707</v>
      </c>
      <c r="I210" s="2" t="s">
        <v>96</v>
      </c>
      <c r="J210" s="2" t="s">
        <v>96</v>
      </c>
      <c r="K210" s="2" t="s">
        <v>1581</v>
      </c>
      <c r="L210" s="2" t="s">
        <v>553</v>
      </c>
      <c r="M210" s="2" t="s">
        <v>114</v>
      </c>
      <c r="N210" s="2" t="s">
        <v>381</v>
      </c>
      <c r="O210" s="2" t="s">
        <v>96</v>
      </c>
      <c r="P210" s="2" t="s">
        <v>258</v>
      </c>
      <c r="Q210" s="2" t="s">
        <v>1895</v>
      </c>
      <c r="R210" s="2" t="s">
        <v>1709</v>
      </c>
      <c r="S210" s="2" t="s">
        <v>1710</v>
      </c>
      <c r="T210" s="2" t="s">
        <v>1711</v>
      </c>
      <c r="U210" s="2"/>
      <c r="V210" s="2"/>
    </row>
    <row r="211" customFormat="false" ht="53.7" hidden="false" customHeight="false" outlineLevel="0" collapsed="false">
      <c r="A211" s="2" t="s">
        <v>1896</v>
      </c>
      <c r="B211" s="2" t="s">
        <v>1897</v>
      </c>
      <c r="C211" s="12" t="s">
        <v>1578</v>
      </c>
      <c r="D211" s="2" t="s">
        <v>1898</v>
      </c>
      <c r="E211" s="2" t="s">
        <v>296</v>
      </c>
      <c r="F211" s="2" t="s">
        <v>77</v>
      </c>
      <c r="G211" s="2" t="s">
        <v>77</v>
      </c>
      <c r="H211" s="2" t="s">
        <v>656</v>
      </c>
      <c r="I211" s="2" t="s">
        <v>96</v>
      </c>
      <c r="J211" s="2" t="s">
        <v>96</v>
      </c>
      <c r="K211" s="2" t="s">
        <v>1581</v>
      </c>
      <c r="L211" s="2" t="s">
        <v>553</v>
      </c>
      <c r="M211" s="2" t="s">
        <v>114</v>
      </c>
      <c r="N211" s="2" t="s">
        <v>1661</v>
      </c>
      <c r="O211" s="2" t="s">
        <v>96</v>
      </c>
      <c r="P211" s="2" t="s">
        <v>258</v>
      </c>
      <c r="Q211" s="2" t="s">
        <v>1899</v>
      </c>
      <c r="R211" s="2"/>
      <c r="S211" s="2" t="s">
        <v>1900</v>
      </c>
      <c r="T211" s="2" t="s">
        <v>939</v>
      </c>
      <c r="U211" s="2"/>
      <c r="V211" s="2"/>
    </row>
    <row r="212" customFormat="false" ht="137.3" hidden="false" customHeight="false" outlineLevel="0" collapsed="false">
      <c r="A212" s="2" t="s">
        <v>1901</v>
      </c>
      <c r="B212" s="2" t="s">
        <v>1902</v>
      </c>
      <c r="C212" s="12" t="s">
        <v>1578</v>
      </c>
      <c r="D212" s="2" t="s">
        <v>1903</v>
      </c>
      <c r="E212" s="2" t="s">
        <v>1051</v>
      </c>
      <c r="F212" s="2" t="s">
        <v>77</v>
      </c>
      <c r="G212" s="2" t="s">
        <v>77</v>
      </c>
      <c r="H212" s="2" t="s">
        <v>402</v>
      </c>
      <c r="I212" s="2" t="s">
        <v>492</v>
      </c>
      <c r="J212" s="2" t="s">
        <v>1904</v>
      </c>
      <c r="K212" s="2" t="s">
        <v>1905</v>
      </c>
      <c r="L212" s="2" t="s">
        <v>1906</v>
      </c>
      <c r="M212" s="2" t="s">
        <v>1907</v>
      </c>
      <c r="N212" s="2" t="s">
        <v>1908</v>
      </c>
      <c r="O212" s="2" t="s">
        <v>35</v>
      </c>
      <c r="P212" s="2" t="s">
        <v>1909</v>
      </c>
      <c r="Q212" s="2" t="s">
        <v>1910</v>
      </c>
      <c r="R212" s="2" t="s">
        <v>1911</v>
      </c>
      <c r="S212" s="2" t="s">
        <v>1912</v>
      </c>
      <c r="T212" s="2" t="s">
        <v>1913</v>
      </c>
      <c r="U212" s="2" t="s">
        <v>1914</v>
      </c>
      <c r="V212" s="2"/>
    </row>
    <row r="213" customFormat="false" ht="43.25" hidden="false" customHeight="false" outlineLevel="0" collapsed="false">
      <c r="A213" s="2" t="s">
        <v>1915</v>
      </c>
      <c r="B213" s="2" t="s">
        <v>1916</v>
      </c>
      <c r="C213" s="12" t="s">
        <v>1578</v>
      </c>
      <c r="D213" s="2" t="s">
        <v>1898</v>
      </c>
      <c r="E213" s="2" t="s">
        <v>296</v>
      </c>
      <c r="F213" s="2" t="s">
        <v>77</v>
      </c>
      <c r="G213" s="2" t="s">
        <v>77</v>
      </c>
      <c r="H213" s="2" t="s">
        <v>656</v>
      </c>
      <c r="I213" s="2" t="s">
        <v>96</v>
      </c>
      <c r="J213" s="2" t="s">
        <v>96</v>
      </c>
      <c r="K213" s="2" t="s">
        <v>1581</v>
      </c>
      <c r="L213" s="2" t="s">
        <v>553</v>
      </c>
      <c r="M213" s="2" t="s">
        <v>114</v>
      </c>
      <c r="N213" s="2" t="s">
        <v>1661</v>
      </c>
      <c r="O213" s="2" t="s">
        <v>96</v>
      </c>
      <c r="P213" s="2" t="s">
        <v>258</v>
      </c>
      <c r="Q213" s="2" t="s">
        <v>1917</v>
      </c>
      <c r="R213" s="2"/>
      <c r="S213" s="2" t="s">
        <v>1900</v>
      </c>
      <c r="T213" s="2" t="s">
        <v>1918</v>
      </c>
      <c r="U213" s="2"/>
      <c r="V213" s="2"/>
    </row>
    <row r="214" customFormat="false" ht="74.6" hidden="false" customHeight="false" outlineLevel="0" collapsed="false">
      <c r="A214" s="2" t="s">
        <v>1919</v>
      </c>
      <c r="B214" s="2" t="s">
        <v>1920</v>
      </c>
      <c r="C214" s="12" t="s">
        <v>1578</v>
      </c>
      <c r="D214" s="2" t="s">
        <v>1921</v>
      </c>
      <c r="E214" s="2" t="s">
        <v>296</v>
      </c>
      <c r="F214" s="2" t="s">
        <v>77</v>
      </c>
      <c r="G214" s="2" t="s">
        <v>77</v>
      </c>
      <c r="H214" s="2" t="s">
        <v>1071</v>
      </c>
      <c r="I214" s="2" t="s">
        <v>96</v>
      </c>
      <c r="J214" s="2" t="s">
        <v>96</v>
      </c>
      <c r="K214" s="2" t="s">
        <v>81</v>
      </c>
      <c r="L214" s="2" t="s">
        <v>553</v>
      </c>
      <c r="M214" s="2" t="s">
        <v>114</v>
      </c>
      <c r="N214" s="2" t="s">
        <v>1677</v>
      </c>
      <c r="O214" s="2" t="s">
        <v>96</v>
      </c>
      <c r="P214" s="2" t="s">
        <v>1053</v>
      </c>
      <c r="Q214" s="2" t="s">
        <v>1922</v>
      </c>
      <c r="R214" s="2" t="s">
        <v>1923</v>
      </c>
      <c r="S214" s="2" t="s">
        <v>1924</v>
      </c>
      <c r="T214" s="2" t="s">
        <v>1617</v>
      </c>
      <c r="U214" s="2"/>
      <c r="V214" s="7" t="s">
        <v>1925</v>
      </c>
    </row>
    <row r="215" customFormat="false" ht="74.6" hidden="false" customHeight="false" outlineLevel="0" collapsed="false">
      <c r="A215" s="2" t="s">
        <v>1926</v>
      </c>
      <c r="B215" s="2" t="s">
        <v>1927</v>
      </c>
      <c r="C215" s="12" t="s">
        <v>1578</v>
      </c>
      <c r="D215" s="2" t="s">
        <v>1699</v>
      </c>
      <c r="E215" s="2" t="s">
        <v>296</v>
      </c>
      <c r="F215" s="2" t="s">
        <v>77</v>
      </c>
      <c r="G215" s="2" t="s">
        <v>77</v>
      </c>
      <c r="H215" s="2" t="s">
        <v>656</v>
      </c>
      <c r="I215" s="2" t="s">
        <v>348</v>
      </c>
      <c r="J215" s="2" t="s">
        <v>1928</v>
      </c>
      <c r="K215" s="2" t="s">
        <v>1700</v>
      </c>
      <c r="L215" s="2" t="s">
        <v>553</v>
      </c>
      <c r="M215" s="2" t="s">
        <v>114</v>
      </c>
      <c r="N215" s="2" t="s">
        <v>1677</v>
      </c>
      <c r="O215" s="2" t="s">
        <v>96</v>
      </c>
      <c r="P215" s="2" t="s">
        <v>258</v>
      </c>
      <c r="Q215" s="2" t="s">
        <v>1929</v>
      </c>
      <c r="R215" s="2"/>
      <c r="S215" s="2" t="s">
        <v>1702</v>
      </c>
      <c r="T215" s="2" t="s">
        <v>1930</v>
      </c>
      <c r="U215" s="2"/>
      <c r="V215" s="2"/>
    </row>
    <row r="216" customFormat="false" ht="126.85" hidden="false" customHeight="false" outlineLevel="0" collapsed="false">
      <c r="A216" s="2" t="s">
        <v>1931</v>
      </c>
      <c r="B216" s="2" t="s">
        <v>1932</v>
      </c>
      <c r="C216" s="12" t="s">
        <v>1578</v>
      </c>
      <c r="D216" s="2" t="s">
        <v>1933</v>
      </c>
      <c r="E216" s="2" t="s">
        <v>267</v>
      </c>
      <c r="F216" s="4" t="s">
        <v>27</v>
      </c>
      <c r="G216" s="2" t="s">
        <v>77</v>
      </c>
      <c r="H216" s="2" t="s">
        <v>1934</v>
      </c>
      <c r="I216" s="2" t="s">
        <v>96</v>
      </c>
      <c r="J216" s="2" t="s">
        <v>96</v>
      </c>
      <c r="K216" s="2" t="s">
        <v>1581</v>
      </c>
      <c r="L216" s="2" t="s">
        <v>553</v>
      </c>
      <c r="M216" s="2" t="s">
        <v>114</v>
      </c>
      <c r="N216" s="2" t="s">
        <v>1935</v>
      </c>
      <c r="O216" s="2" t="s">
        <v>96</v>
      </c>
      <c r="P216" s="2" t="s">
        <v>258</v>
      </c>
      <c r="Q216" s="2" t="s">
        <v>1936</v>
      </c>
      <c r="R216" s="2" t="s">
        <v>1937</v>
      </c>
      <c r="S216" s="2" t="s">
        <v>1938</v>
      </c>
      <c r="T216" s="2" t="s">
        <v>1939</v>
      </c>
      <c r="U216" s="2"/>
      <c r="V216" s="2"/>
    </row>
    <row r="217" customFormat="false" ht="53.7" hidden="false" customHeight="false" outlineLevel="0" collapsed="false">
      <c r="A217" s="2" t="s">
        <v>1940</v>
      </c>
      <c r="B217" s="2" t="s">
        <v>1941</v>
      </c>
      <c r="C217" s="12" t="s">
        <v>1578</v>
      </c>
      <c r="D217" s="2" t="s">
        <v>1942</v>
      </c>
      <c r="E217" s="2" t="s">
        <v>490</v>
      </c>
      <c r="F217" s="2" t="s">
        <v>77</v>
      </c>
      <c r="G217" s="2" t="s">
        <v>77</v>
      </c>
      <c r="H217" s="2" t="s">
        <v>1879</v>
      </c>
      <c r="I217" s="2" t="s">
        <v>96</v>
      </c>
      <c r="J217" s="2" t="s">
        <v>96</v>
      </c>
      <c r="K217" s="2" t="s">
        <v>1943</v>
      </c>
      <c r="L217" s="2" t="s">
        <v>553</v>
      </c>
      <c r="M217" s="2" t="s">
        <v>114</v>
      </c>
      <c r="N217" s="2" t="s">
        <v>1944</v>
      </c>
      <c r="O217" s="2" t="s">
        <v>96</v>
      </c>
      <c r="P217" s="2" t="s">
        <v>1605</v>
      </c>
      <c r="Q217" s="2"/>
      <c r="R217" s="2" t="s">
        <v>1945</v>
      </c>
      <c r="S217" s="2" t="s">
        <v>1946</v>
      </c>
      <c r="T217" s="2" t="s">
        <v>1947</v>
      </c>
      <c r="U217" s="2"/>
      <c r="V217" s="2"/>
    </row>
    <row r="218" customFormat="false" ht="64.15" hidden="false" customHeight="false" outlineLevel="0" collapsed="false">
      <c r="A218" s="2" t="s">
        <v>1948</v>
      </c>
      <c r="B218" s="2" t="s">
        <v>1949</v>
      </c>
      <c r="C218" s="12" t="s">
        <v>1578</v>
      </c>
      <c r="D218" s="2" t="s">
        <v>1942</v>
      </c>
      <c r="E218" s="2" t="s">
        <v>490</v>
      </c>
      <c r="F218" s="2" t="s">
        <v>77</v>
      </c>
      <c r="G218" s="2" t="s">
        <v>77</v>
      </c>
      <c r="H218" s="2" t="s">
        <v>1879</v>
      </c>
      <c r="I218" s="2" t="s">
        <v>492</v>
      </c>
      <c r="J218" s="2" t="s">
        <v>1950</v>
      </c>
      <c r="K218" s="2" t="s">
        <v>1943</v>
      </c>
      <c r="L218" s="2" t="s">
        <v>553</v>
      </c>
      <c r="M218" s="2" t="s">
        <v>114</v>
      </c>
      <c r="N218" s="2" t="s">
        <v>1944</v>
      </c>
      <c r="O218" s="2" t="s">
        <v>96</v>
      </c>
      <c r="P218" s="2" t="s">
        <v>1605</v>
      </c>
      <c r="Q218" s="2"/>
      <c r="R218" s="2" t="s">
        <v>1945</v>
      </c>
      <c r="S218" s="2" t="s">
        <v>1951</v>
      </c>
      <c r="T218" s="2" t="s">
        <v>1947</v>
      </c>
      <c r="U218" s="2"/>
      <c r="V218" s="2"/>
    </row>
    <row r="219" customFormat="false" ht="74.6" hidden="false" customHeight="false" outlineLevel="0" collapsed="false">
      <c r="A219" s="2" t="s">
        <v>1952</v>
      </c>
      <c r="B219" s="2" t="s">
        <v>1953</v>
      </c>
      <c r="C219" s="12" t="s">
        <v>1578</v>
      </c>
      <c r="D219" s="2" t="s">
        <v>1954</v>
      </c>
      <c r="E219" s="2" t="s">
        <v>490</v>
      </c>
      <c r="F219" s="2" t="s">
        <v>77</v>
      </c>
      <c r="G219" s="2" t="s">
        <v>77</v>
      </c>
      <c r="H219" s="2" t="s">
        <v>1601</v>
      </c>
      <c r="I219" s="2" t="s">
        <v>492</v>
      </c>
      <c r="J219" s="2" t="s">
        <v>1955</v>
      </c>
      <c r="K219" s="2" t="s">
        <v>1956</v>
      </c>
      <c r="L219" s="2" t="s">
        <v>553</v>
      </c>
      <c r="M219" s="2" t="s">
        <v>114</v>
      </c>
      <c r="N219" s="2" t="s">
        <v>1957</v>
      </c>
      <c r="O219" s="2" t="s">
        <v>35</v>
      </c>
      <c r="P219" s="2" t="s">
        <v>1605</v>
      </c>
      <c r="Q219" s="2"/>
      <c r="R219" s="2" t="s">
        <v>1958</v>
      </c>
      <c r="S219" s="2" t="s">
        <v>1959</v>
      </c>
      <c r="T219" s="2" t="s">
        <v>1960</v>
      </c>
      <c r="U219" s="2"/>
      <c r="V219" s="2"/>
    </row>
    <row r="220" customFormat="false" ht="22.35" hidden="false" customHeight="false" outlineLevel="0" collapsed="false">
      <c r="A220" s="2" t="s">
        <v>1961</v>
      </c>
      <c r="B220" s="2" t="s">
        <v>1962</v>
      </c>
      <c r="C220" s="12" t="s">
        <v>1578</v>
      </c>
      <c r="D220" s="2" t="s">
        <v>1963</v>
      </c>
      <c r="E220" s="2" t="s">
        <v>76</v>
      </c>
      <c r="F220" s="2" t="s">
        <v>77</v>
      </c>
      <c r="G220" s="2" t="s">
        <v>77</v>
      </c>
      <c r="H220" s="2" t="s">
        <v>1071</v>
      </c>
      <c r="I220" s="2" t="s">
        <v>1053</v>
      </c>
      <c r="J220" s="2" t="s">
        <v>1053</v>
      </c>
      <c r="K220" s="2" t="s">
        <v>81</v>
      </c>
      <c r="L220" s="2" t="s">
        <v>553</v>
      </c>
      <c r="M220" s="2" t="s">
        <v>114</v>
      </c>
      <c r="N220" s="2" t="s">
        <v>381</v>
      </c>
      <c r="O220" s="2" t="s">
        <v>96</v>
      </c>
      <c r="P220" s="2" t="s">
        <v>1053</v>
      </c>
      <c r="Q220" s="2" t="s">
        <v>1964</v>
      </c>
      <c r="R220" s="2" t="s">
        <v>1965</v>
      </c>
      <c r="S220" s="2"/>
      <c r="T220" s="2" t="s">
        <v>1617</v>
      </c>
      <c r="U220" s="2"/>
      <c r="V220" s="2"/>
    </row>
    <row r="221" customFormat="false" ht="43.25" hidden="false" customHeight="false" outlineLevel="0" collapsed="false">
      <c r="A221" s="2" t="s">
        <v>1966</v>
      </c>
      <c r="B221" s="2" t="s">
        <v>1967</v>
      </c>
      <c r="C221" s="12" t="s">
        <v>1578</v>
      </c>
      <c r="D221" s="2" t="s">
        <v>1968</v>
      </c>
      <c r="E221" s="2" t="s">
        <v>1425</v>
      </c>
      <c r="F221" s="2" t="s">
        <v>77</v>
      </c>
      <c r="G221" s="2" t="s">
        <v>77</v>
      </c>
      <c r="H221" s="2" t="s">
        <v>1637</v>
      </c>
      <c r="I221" s="2" t="s">
        <v>657</v>
      </c>
      <c r="J221" s="2" t="s">
        <v>1969</v>
      </c>
      <c r="K221" s="2" t="s">
        <v>1581</v>
      </c>
      <c r="L221" s="2" t="s">
        <v>553</v>
      </c>
      <c r="M221" s="2" t="s">
        <v>114</v>
      </c>
      <c r="N221" s="2" t="s">
        <v>381</v>
      </c>
      <c r="O221" s="2" t="s">
        <v>96</v>
      </c>
      <c r="P221" s="2" t="s">
        <v>258</v>
      </c>
      <c r="Q221" s="2" t="s">
        <v>1970</v>
      </c>
      <c r="R221" s="2" t="s">
        <v>1971</v>
      </c>
      <c r="S221" s="2" t="s">
        <v>1972</v>
      </c>
      <c r="T221" s="2" t="s">
        <v>1973</v>
      </c>
      <c r="U221" s="2"/>
      <c r="V221" s="2"/>
    </row>
    <row r="222" customFormat="false" ht="74.6" hidden="false" customHeight="false" outlineLevel="0" collapsed="false">
      <c r="A222" s="2" t="s">
        <v>1974</v>
      </c>
      <c r="B222" s="2" t="s">
        <v>1975</v>
      </c>
      <c r="C222" s="12" t="s">
        <v>1578</v>
      </c>
      <c r="D222" s="2" t="s">
        <v>1976</v>
      </c>
      <c r="E222" s="2" t="s">
        <v>267</v>
      </c>
      <c r="F222" s="4" t="s">
        <v>27</v>
      </c>
      <c r="G222" s="2" t="s">
        <v>77</v>
      </c>
      <c r="H222" s="2" t="s">
        <v>1977</v>
      </c>
      <c r="I222" s="2" t="s">
        <v>96</v>
      </c>
      <c r="J222" s="2" t="s">
        <v>96</v>
      </c>
      <c r="K222" s="2" t="s">
        <v>1581</v>
      </c>
      <c r="L222" s="2" t="s">
        <v>553</v>
      </c>
      <c r="M222" s="2" t="s">
        <v>114</v>
      </c>
      <c r="N222" s="2" t="s">
        <v>1978</v>
      </c>
      <c r="O222" s="2" t="s">
        <v>96</v>
      </c>
      <c r="P222" s="2" t="s">
        <v>258</v>
      </c>
      <c r="Q222" s="2" t="s">
        <v>1979</v>
      </c>
      <c r="R222" s="2" t="s">
        <v>1980</v>
      </c>
      <c r="S222" s="2" t="s">
        <v>1981</v>
      </c>
      <c r="T222" s="2" t="s">
        <v>1982</v>
      </c>
      <c r="U222" s="2"/>
      <c r="V222" s="2"/>
    </row>
    <row r="223" customFormat="false" ht="158.2" hidden="false" customHeight="false" outlineLevel="0" collapsed="false">
      <c r="A223" s="2" t="s">
        <v>1983</v>
      </c>
      <c r="B223" s="2" t="s">
        <v>1984</v>
      </c>
      <c r="C223" s="12" t="s">
        <v>1578</v>
      </c>
      <c r="D223" s="2" t="s">
        <v>1985</v>
      </c>
      <c r="E223" s="2" t="s">
        <v>529</v>
      </c>
      <c r="F223" s="2" t="s">
        <v>77</v>
      </c>
      <c r="G223" s="2" t="s">
        <v>77</v>
      </c>
      <c r="H223" s="2"/>
      <c r="I223" s="2" t="s">
        <v>96</v>
      </c>
      <c r="J223" s="2" t="s">
        <v>1986</v>
      </c>
      <c r="K223" s="2" t="s">
        <v>1987</v>
      </c>
      <c r="L223" s="2" t="s">
        <v>553</v>
      </c>
      <c r="M223" s="2" t="s">
        <v>114</v>
      </c>
      <c r="N223" s="2" t="s">
        <v>1988</v>
      </c>
      <c r="O223" s="2" t="s">
        <v>51</v>
      </c>
      <c r="P223" s="2" t="s">
        <v>1989</v>
      </c>
      <c r="Q223" s="2"/>
      <c r="R223" s="2" t="s">
        <v>1990</v>
      </c>
      <c r="S223" s="2" t="s">
        <v>1991</v>
      </c>
      <c r="T223" s="2"/>
      <c r="U223" s="2"/>
      <c r="V223" s="7" t="s">
        <v>1992</v>
      </c>
    </row>
    <row r="224" customFormat="false" ht="85.05" hidden="false" customHeight="false" outlineLevel="0" collapsed="false">
      <c r="A224" s="2" t="s">
        <v>1993</v>
      </c>
      <c r="B224" s="2" t="s">
        <v>1994</v>
      </c>
      <c r="C224" s="12" t="s">
        <v>1578</v>
      </c>
      <c r="D224" s="2" t="s">
        <v>1995</v>
      </c>
      <c r="E224" s="2" t="s">
        <v>76</v>
      </c>
      <c r="F224" s="2" t="s">
        <v>77</v>
      </c>
      <c r="G224" s="2" t="s">
        <v>77</v>
      </c>
      <c r="H224" s="2" t="s">
        <v>402</v>
      </c>
      <c r="I224" s="2" t="s">
        <v>96</v>
      </c>
      <c r="J224" s="2" t="s">
        <v>96</v>
      </c>
      <c r="K224" s="2" t="s">
        <v>1996</v>
      </c>
      <c r="L224" s="2" t="s">
        <v>553</v>
      </c>
      <c r="M224" s="2" t="s">
        <v>114</v>
      </c>
      <c r="N224" s="2" t="s">
        <v>1661</v>
      </c>
      <c r="O224" s="2" t="s">
        <v>96</v>
      </c>
      <c r="P224" s="2" t="s">
        <v>258</v>
      </c>
      <c r="Q224" s="2" t="s">
        <v>1997</v>
      </c>
      <c r="R224" s="2" t="s">
        <v>1998</v>
      </c>
      <c r="S224" s="2" t="s">
        <v>1999</v>
      </c>
      <c r="T224" s="2" t="s">
        <v>2000</v>
      </c>
      <c r="U224" s="2"/>
      <c r="V224" s="2"/>
    </row>
    <row r="225" customFormat="false" ht="43.25" hidden="false" customHeight="false" outlineLevel="0" collapsed="false">
      <c r="A225" s="2" t="s">
        <v>2001</v>
      </c>
      <c r="B225" s="2" t="s">
        <v>2002</v>
      </c>
      <c r="C225" s="12" t="s">
        <v>1578</v>
      </c>
      <c r="D225" s="2" t="s">
        <v>2003</v>
      </c>
      <c r="E225" s="2" t="s">
        <v>529</v>
      </c>
      <c r="F225" s="2" t="s">
        <v>77</v>
      </c>
      <c r="G225" s="2" t="s">
        <v>77</v>
      </c>
      <c r="H225" s="2" t="s">
        <v>1071</v>
      </c>
      <c r="I225" s="2" t="s">
        <v>348</v>
      </c>
      <c r="J225" s="2" t="s">
        <v>2004</v>
      </c>
      <c r="K225" s="2" t="s">
        <v>81</v>
      </c>
      <c r="L225" s="2" t="s">
        <v>553</v>
      </c>
      <c r="M225" s="2" t="s">
        <v>114</v>
      </c>
      <c r="N225" s="2" t="s">
        <v>1661</v>
      </c>
      <c r="O225" s="2" t="s">
        <v>96</v>
      </c>
      <c r="P225" s="2" t="s">
        <v>1053</v>
      </c>
      <c r="Q225" s="2" t="s">
        <v>2005</v>
      </c>
      <c r="R225" s="2" t="s">
        <v>2006</v>
      </c>
      <c r="S225" s="2" t="s">
        <v>2007</v>
      </c>
      <c r="T225" s="2"/>
      <c r="U225" s="2"/>
      <c r="V225" s="2"/>
    </row>
    <row r="226" customFormat="false" ht="53.7" hidden="false" customHeight="false" outlineLevel="0" collapsed="false">
      <c r="A226" s="2" t="s">
        <v>2008</v>
      </c>
      <c r="B226" s="2" t="s">
        <v>2009</v>
      </c>
      <c r="C226" s="12" t="s">
        <v>1578</v>
      </c>
      <c r="D226" s="2" t="s">
        <v>2010</v>
      </c>
      <c r="E226" s="2" t="s">
        <v>1051</v>
      </c>
      <c r="F226" s="2" t="s">
        <v>77</v>
      </c>
      <c r="G226" s="2" t="s">
        <v>77</v>
      </c>
      <c r="H226" s="2" t="s">
        <v>402</v>
      </c>
      <c r="I226" s="2" t="s">
        <v>96</v>
      </c>
      <c r="J226" s="2" t="s">
        <v>96</v>
      </c>
      <c r="K226" s="2" t="s">
        <v>81</v>
      </c>
      <c r="L226" s="2" t="s">
        <v>553</v>
      </c>
      <c r="M226" s="2" t="s">
        <v>114</v>
      </c>
      <c r="N226" s="2" t="s">
        <v>381</v>
      </c>
      <c r="O226" s="2" t="s">
        <v>96</v>
      </c>
      <c r="P226" s="2" t="s">
        <v>1053</v>
      </c>
      <c r="Q226" s="2" t="s">
        <v>2011</v>
      </c>
      <c r="R226" s="2" t="s">
        <v>2012</v>
      </c>
      <c r="S226" s="2"/>
      <c r="T226" s="2" t="s">
        <v>2013</v>
      </c>
      <c r="U226" s="2"/>
      <c r="V226" s="2"/>
    </row>
    <row r="227" customFormat="false" ht="32.8" hidden="false" customHeight="false" outlineLevel="0" collapsed="false">
      <c r="A227" s="2" t="s">
        <v>2014</v>
      </c>
      <c r="B227" s="2" t="s">
        <v>2015</v>
      </c>
      <c r="C227" s="12" t="s">
        <v>1578</v>
      </c>
      <c r="D227" s="2" t="s">
        <v>1815</v>
      </c>
      <c r="E227" s="2" t="s">
        <v>296</v>
      </c>
      <c r="F227" s="2" t="s">
        <v>77</v>
      </c>
      <c r="G227" s="2" t="s">
        <v>77</v>
      </c>
      <c r="H227" s="2" t="s">
        <v>1816</v>
      </c>
      <c r="I227" s="2" t="s">
        <v>1053</v>
      </c>
      <c r="J227" s="2" t="s">
        <v>1817</v>
      </c>
      <c r="K227" s="2" t="s">
        <v>1818</v>
      </c>
      <c r="L227" s="2" t="s">
        <v>553</v>
      </c>
      <c r="M227" s="2" t="s">
        <v>114</v>
      </c>
      <c r="N227" s="2" t="s">
        <v>1661</v>
      </c>
      <c r="O227" s="2" t="s">
        <v>96</v>
      </c>
      <c r="P227" s="2" t="s">
        <v>1605</v>
      </c>
      <c r="Q227" s="2"/>
      <c r="R227" s="2"/>
      <c r="S227" s="2" t="s">
        <v>2016</v>
      </c>
      <c r="T227" s="2" t="s">
        <v>2017</v>
      </c>
      <c r="U227" s="2"/>
      <c r="V227" s="2"/>
    </row>
    <row r="228" customFormat="false" ht="85.05" hidden="false" customHeight="false" outlineLevel="0" collapsed="false">
      <c r="A228" s="2" t="s">
        <v>2018</v>
      </c>
      <c r="B228" s="2" t="s">
        <v>2019</v>
      </c>
      <c r="C228" s="12" t="s">
        <v>1578</v>
      </c>
      <c r="D228" s="2" t="s">
        <v>2020</v>
      </c>
      <c r="E228" s="2" t="s">
        <v>76</v>
      </c>
      <c r="F228" s="2" t="s">
        <v>77</v>
      </c>
      <c r="G228" s="2" t="s">
        <v>77</v>
      </c>
      <c r="H228" s="2" t="s">
        <v>402</v>
      </c>
      <c r="I228" s="2" t="s">
        <v>79</v>
      </c>
      <c r="J228" s="2" t="s">
        <v>2021</v>
      </c>
      <c r="K228" s="2" t="s">
        <v>1996</v>
      </c>
      <c r="L228" s="2" t="s">
        <v>553</v>
      </c>
      <c r="M228" s="2" t="s">
        <v>114</v>
      </c>
      <c r="N228" s="2" t="s">
        <v>1677</v>
      </c>
      <c r="O228" s="2" t="s">
        <v>96</v>
      </c>
      <c r="P228" s="2" t="s">
        <v>258</v>
      </c>
      <c r="Q228" s="2" t="s">
        <v>2022</v>
      </c>
      <c r="R228" s="2" t="s">
        <v>2023</v>
      </c>
      <c r="S228" s="2" t="s">
        <v>2024</v>
      </c>
      <c r="T228" s="2" t="s">
        <v>2025</v>
      </c>
      <c r="U228" s="2"/>
      <c r="V228" s="2"/>
    </row>
    <row r="229" customFormat="false" ht="210.4" hidden="false" customHeight="false" outlineLevel="0" collapsed="false">
      <c r="A229" s="2" t="s">
        <v>2026</v>
      </c>
      <c r="B229" s="2" t="s">
        <v>2027</v>
      </c>
      <c r="C229" s="12" t="s">
        <v>1578</v>
      </c>
      <c r="D229" s="2" t="s">
        <v>2028</v>
      </c>
      <c r="E229" s="2" t="s">
        <v>1051</v>
      </c>
      <c r="F229" s="2" t="s">
        <v>77</v>
      </c>
      <c r="G229" s="2" t="s">
        <v>77</v>
      </c>
      <c r="H229" s="2" t="s">
        <v>402</v>
      </c>
      <c r="I229" s="2" t="s">
        <v>492</v>
      </c>
      <c r="J229" s="2" t="s">
        <v>2029</v>
      </c>
      <c r="K229" s="2" t="s">
        <v>1740</v>
      </c>
      <c r="L229" s="2" t="s">
        <v>2030</v>
      </c>
      <c r="M229" s="2" t="s">
        <v>2031</v>
      </c>
      <c r="N229" s="2" t="s">
        <v>2032</v>
      </c>
      <c r="O229" s="2" t="s">
        <v>35</v>
      </c>
      <c r="P229" s="2" t="s">
        <v>2033</v>
      </c>
      <c r="Q229" s="2" t="s">
        <v>2034</v>
      </c>
      <c r="R229" s="2" t="s">
        <v>2035</v>
      </c>
      <c r="S229" s="2" t="s">
        <v>2036</v>
      </c>
      <c r="T229" s="2" t="s">
        <v>2037</v>
      </c>
      <c r="U229" s="2" t="s">
        <v>560</v>
      </c>
      <c r="V229" s="2"/>
    </row>
    <row r="230" customFormat="false" ht="43.25" hidden="false" customHeight="false" outlineLevel="0" collapsed="false">
      <c r="A230" s="2" t="s">
        <v>2038</v>
      </c>
      <c r="B230" s="2" t="s">
        <v>2039</v>
      </c>
      <c r="C230" s="12" t="s">
        <v>1578</v>
      </c>
      <c r="D230" s="2" t="s">
        <v>1732</v>
      </c>
      <c r="E230" s="2" t="s">
        <v>76</v>
      </c>
      <c r="F230" s="2" t="s">
        <v>77</v>
      </c>
      <c r="G230" s="2" t="s">
        <v>77</v>
      </c>
      <c r="H230" s="2" t="s">
        <v>402</v>
      </c>
      <c r="I230" s="2" t="s">
        <v>96</v>
      </c>
      <c r="J230" s="2" t="s">
        <v>96</v>
      </c>
      <c r="K230" s="2" t="s">
        <v>81</v>
      </c>
      <c r="L230" s="2" t="s">
        <v>553</v>
      </c>
      <c r="M230" s="2" t="s">
        <v>114</v>
      </c>
      <c r="N230" s="2" t="s">
        <v>381</v>
      </c>
      <c r="O230" s="2" t="s">
        <v>96</v>
      </c>
      <c r="P230" s="2" t="s">
        <v>1053</v>
      </c>
      <c r="Q230" s="2" t="s">
        <v>1733</v>
      </c>
      <c r="R230" s="2" t="s">
        <v>1734</v>
      </c>
      <c r="S230" s="2" t="s">
        <v>1735</v>
      </c>
      <c r="T230" s="2" t="s">
        <v>1736</v>
      </c>
      <c r="U230" s="2"/>
      <c r="V230" s="2"/>
    </row>
    <row r="231" customFormat="false" ht="32.8" hidden="false" customHeight="false" outlineLevel="0" collapsed="false">
      <c r="A231" s="2" t="s">
        <v>2040</v>
      </c>
      <c r="B231" s="2" t="s">
        <v>2041</v>
      </c>
      <c r="C231" s="12" t="s">
        <v>1578</v>
      </c>
      <c r="D231" s="2" t="s">
        <v>2042</v>
      </c>
      <c r="E231" s="2" t="s">
        <v>1051</v>
      </c>
      <c r="F231" s="2" t="s">
        <v>77</v>
      </c>
      <c r="G231" s="2" t="s">
        <v>77</v>
      </c>
      <c r="H231" s="2" t="s">
        <v>402</v>
      </c>
      <c r="I231" s="2" t="s">
        <v>96</v>
      </c>
      <c r="J231" s="2" t="s">
        <v>96</v>
      </c>
      <c r="K231" s="2" t="s">
        <v>1581</v>
      </c>
      <c r="L231" s="2" t="s">
        <v>553</v>
      </c>
      <c r="M231" s="2" t="s">
        <v>114</v>
      </c>
      <c r="N231" s="2" t="s">
        <v>381</v>
      </c>
      <c r="O231" s="2" t="s">
        <v>96</v>
      </c>
      <c r="P231" s="2" t="s">
        <v>1053</v>
      </c>
      <c r="Q231" s="2" t="s">
        <v>2043</v>
      </c>
      <c r="R231" s="2"/>
      <c r="S231" s="2"/>
      <c r="T231" s="2" t="s">
        <v>262</v>
      </c>
      <c r="U231" s="2"/>
      <c r="V231" s="2"/>
    </row>
    <row r="232" customFormat="false" ht="43.25" hidden="false" customHeight="false" outlineLevel="0" collapsed="false">
      <c r="A232" s="2" t="s">
        <v>2044</v>
      </c>
      <c r="B232" s="2" t="s">
        <v>2045</v>
      </c>
      <c r="C232" s="12" t="s">
        <v>1578</v>
      </c>
      <c r="D232" s="2" t="s">
        <v>1828</v>
      </c>
      <c r="E232" s="2" t="s">
        <v>529</v>
      </c>
      <c r="F232" s="2" t="s">
        <v>77</v>
      </c>
      <c r="G232" s="2" t="s">
        <v>77</v>
      </c>
      <c r="H232" s="2" t="s">
        <v>1071</v>
      </c>
      <c r="I232" s="2" t="s">
        <v>348</v>
      </c>
      <c r="J232" s="2" t="s">
        <v>2046</v>
      </c>
      <c r="K232" s="2" t="s">
        <v>1831</v>
      </c>
      <c r="L232" s="2" t="s">
        <v>553</v>
      </c>
      <c r="M232" s="2" t="s">
        <v>114</v>
      </c>
      <c r="N232" s="2" t="s">
        <v>1661</v>
      </c>
      <c r="O232" s="2" t="s">
        <v>96</v>
      </c>
      <c r="P232" s="2" t="s">
        <v>1605</v>
      </c>
      <c r="Q232" s="2" t="s">
        <v>2047</v>
      </c>
      <c r="R232" s="2" t="s">
        <v>1833</v>
      </c>
      <c r="S232" s="2"/>
      <c r="T232" s="2" t="s">
        <v>1834</v>
      </c>
      <c r="U232" s="2"/>
      <c r="V232" s="2"/>
    </row>
    <row r="233" customFormat="false" ht="32.8" hidden="false" customHeight="false" outlineLevel="0" collapsed="false">
      <c r="A233" s="2" t="s">
        <v>2048</v>
      </c>
      <c r="B233" s="2" t="s">
        <v>2049</v>
      </c>
      <c r="C233" s="12" t="s">
        <v>1578</v>
      </c>
      <c r="D233" s="2" t="s">
        <v>1828</v>
      </c>
      <c r="E233" s="2" t="s">
        <v>529</v>
      </c>
      <c r="F233" s="2" t="s">
        <v>77</v>
      </c>
      <c r="G233" s="2" t="s">
        <v>77</v>
      </c>
      <c r="H233" s="2" t="s">
        <v>1071</v>
      </c>
      <c r="I233" s="2" t="s">
        <v>348</v>
      </c>
      <c r="J233" s="2" t="s">
        <v>2046</v>
      </c>
      <c r="K233" s="2" t="s">
        <v>1831</v>
      </c>
      <c r="L233" s="2" t="s">
        <v>553</v>
      </c>
      <c r="M233" s="2" t="s">
        <v>114</v>
      </c>
      <c r="N233" s="2" t="s">
        <v>1661</v>
      </c>
      <c r="O233" s="2" t="s">
        <v>96</v>
      </c>
      <c r="P233" s="2" t="s">
        <v>1605</v>
      </c>
      <c r="Q233" s="2" t="s">
        <v>2050</v>
      </c>
      <c r="R233" s="2" t="s">
        <v>1833</v>
      </c>
      <c r="S233" s="2"/>
      <c r="T233" s="2" t="s">
        <v>1834</v>
      </c>
      <c r="U233" s="2"/>
      <c r="V233" s="2"/>
    </row>
    <row r="234" customFormat="false" ht="32.8" hidden="false" customHeight="false" outlineLevel="0" collapsed="false">
      <c r="A234" s="2" t="s">
        <v>2051</v>
      </c>
      <c r="B234" s="2" t="s">
        <v>2052</v>
      </c>
      <c r="C234" s="12" t="s">
        <v>1578</v>
      </c>
      <c r="D234" s="2" t="s">
        <v>2053</v>
      </c>
      <c r="E234" s="2" t="s">
        <v>76</v>
      </c>
      <c r="F234" s="4" t="s">
        <v>27</v>
      </c>
      <c r="G234" s="2" t="s">
        <v>77</v>
      </c>
      <c r="H234" s="2" t="s">
        <v>751</v>
      </c>
      <c r="I234" s="2" t="s">
        <v>96</v>
      </c>
      <c r="J234" s="2" t="s">
        <v>96</v>
      </c>
      <c r="K234" s="2" t="s">
        <v>1581</v>
      </c>
      <c r="L234" s="2" t="s">
        <v>553</v>
      </c>
      <c r="M234" s="2" t="s">
        <v>114</v>
      </c>
      <c r="N234" s="2" t="s">
        <v>381</v>
      </c>
      <c r="O234" s="2" t="s">
        <v>96</v>
      </c>
      <c r="P234" s="2" t="s">
        <v>258</v>
      </c>
      <c r="Q234" s="2" t="s">
        <v>2054</v>
      </c>
      <c r="R234" s="2" t="s">
        <v>2055</v>
      </c>
      <c r="S234" s="2" t="s">
        <v>2056</v>
      </c>
      <c r="T234" s="2" t="s">
        <v>1973</v>
      </c>
      <c r="U234" s="2"/>
      <c r="V234" s="2"/>
    </row>
    <row r="235" customFormat="false" ht="105.95" hidden="false" customHeight="false" outlineLevel="0" collapsed="false">
      <c r="A235" s="2" t="s">
        <v>2057</v>
      </c>
      <c r="B235" s="2" t="s">
        <v>2058</v>
      </c>
      <c r="C235" s="12" t="s">
        <v>1578</v>
      </c>
      <c r="D235" s="2" t="s">
        <v>2059</v>
      </c>
      <c r="E235" s="2" t="s">
        <v>1425</v>
      </c>
      <c r="F235" s="4" t="s">
        <v>27</v>
      </c>
      <c r="G235" s="2" t="s">
        <v>77</v>
      </c>
      <c r="H235" s="2" t="s">
        <v>1674</v>
      </c>
      <c r="I235" s="2" t="s">
        <v>348</v>
      </c>
      <c r="J235" s="2" t="s">
        <v>2060</v>
      </c>
      <c r="K235" s="2" t="s">
        <v>81</v>
      </c>
      <c r="L235" s="2" t="s">
        <v>553</v>
      </c>
      <c r="M235" s="2" t="s">
        <v>114</v>
      </c>
      <c r="N235" s="2" t="s">
        <v>1677</v>
      </c>
      <c r="O235" s="2" t="s">
        <v>96</v>
      </c>
      <c r="P235" s="2" t="s">
        <v>2061</v>
      </c>
      <c r="Q235" s="2" t="s">
        <v>2062</v>
      </c>
      <c r="R235" s="2" t="s">
        <v>2063</v>
      </c>
      <c r="S235" s="2" t="s">
        <v>2064</v>
      </c>
      <c r="T235" s="2" t="s">
        <v>584</v>
      </c>
      <c r="U235" s="2"/>
      <c r="V235" s="2"/>
    </row>
    <row r="236" customFormat="false" ht="32.8" hidden="false" customHeight="false" outlineLevel="0" collapsed="false">
      <c r="A236" s="2" t="s">
        <v>2065</v>
      </c>
      <c r="B236" s="2" t="s">
        <v>2066</v>
      </c>
      <c r="C236" s="12" t="s">
        <v>1578</v>
      </c>
      <c r="D236" s="2" t="s">
        <v>2067</v>
      </c>
      <c r="E236" s="2" t="s">
        <v>490</v>
      </c>
      <c r="F236" s="2" t="s">
        <v>77</v>
      </c>
      <c r="G236" s="2" t="s">
        <v>77</v>
      </c>
      <c r="H236" s="2" t="s">
        <v>2068</v>
      </c>
      <c r="I236" s="2" t="s">
        <v>1053</v>
      </c>
      <c r="J236" s="2" t="s">
        <v>2069</v>
      </c>
      <c r="K236" s="2" t="s">
        <v>2070</v>
      </c>
      <c r="L236" s="2" t="s">
        <v>553</v>
      </c>
      <c r="M236" s="2" t="s">
        <v>114</v>
      </c>
      <c r="N236" s="2" t="s">
        <v>2071</v>
      </c>
      <c r="O236" s="2" t="s">
        <v>35</v>
      </c>
      <c r="P236" s="2" t="s">
        <v>1605</v>
      </c>
      <c r="Q236" s="2"/>
      <c r="R236" s="2" t="s">
        <v>2072</v>
      </c>
      <c r="S236" s="2"/>
      <c r="T236" s="2" t="s">
        <v>2073</v>
      </c>
      <c r="U236" s="2"/>
      <c r="V236" s="2"/>
    </row>
    <row r="237" customFormat="false" ht="53.7" hidden="false" customHeight="false" outlineLevel="0" collapsed="false">
      <c r="A237" s="2" t="s">
        <v>2074</v>
      </c>
      <c r="B237" s="2" t="s">
        <v>2075</v>
      </c>
      <c r="C237" s="12" t="s">
        <v>1578</v>
      </c>
      <c r="D237" s="2" t="s">
        <v>2076</v>
      </c>
      <c r="E237" s="2" t="s">
        <v>490</v>
      </c>
      <c r="F237" s="2" t="s">
        <v>77</v>
      </c>
      <c r="G237" s="2" t="s">
        <v>77</v>
      </c>
      <c r="H237" s="2" t="s">
        <v>2068</v>
      </c>
      <c r="I237" s="2" t="s">
        <v>1053</v>
      </c>
      <c r="J237" s="2" t="s">
        <v>2069</v>
      </c>
      <c r="K237" s="2" t="s">
        <v>2070</v>
      </c>
      <c r="L237" s="2" t="s">
        <v>553</v>
      </c>
      <c r="M237" s="2" t="s">
        <v>114</v>
      </c>
      <c r="N237" s="2" t="s">
        <v>2077</v>
      </c>
      <c r="O237" s="2" t="s">
        <v>35</v>
      </c>
      <c r="P237" s="2" t="s">
        <v>1605</v>
      </c>
      <c r="Q237" s="2"/>
      <c r="R237" s="2" t="s">
        <v>2078</v>
      </c>
      <c r="S237" s="2" t="s">
        <v>2079</v>
      </c>
      <c r="T237" s="2"/>
      <c r="U237" s="2"/>
      <c r="V237" s="7" t="s">
        <v>2080</v>
      </c>
    </row>
    <row r="238" customFormat="false" ht="116.4" hidden="false" customHeight="false" outlineLevel="0" collapsed="false">
      <c r="A238" s="2" t="s">
        <v>2081</v>
      </c>
      <c r="B238" s="2" t="s">
        <v>2082</v>
      </c>
      <c r="C238" s="12" t="s">
        <v>1578</v>
      </c>
      <c r="D238" s="2" t="s">
        <v>2083</v>
      </c>
      <c r="E238" s="2" t="s">
        <v>490</v>
      </c>
      <c r="F238" s="2" t="s">
        <v>77</v>
      </c>
      <c r="G238" s="2" t="s">
        <v>77</v>
      </c>
      <c r="H238" s="2" t="s">
        <v>2068</v>
      </c>
      <c r="I238" s="2" t="s">
        <v>1053</v>
      </c>
      <c r="J238" s="2" t="s">
        <v>2069</v>
      </c>
      <c r="K238" s="2" t="s">
        <v>2084</v>
      </c>
      <c r="L238" s="2" t="s">
        <v>553</v>
      </c>
      <c r="M238" s="2" t="s">
        <v>114</v>
      </c>
      <c r="N238" s="2" t="s">
        <v>2085</v>
      </c>
      <c r="O238" s="2" t="s">
        <v>35</v>
      </c>
      <c r="P238" s="2" t="s">
        <v>1605</v>
      </c>
      <c r="Q238" s="2"/>
      <c r="R238" s="2" t="s">
        <v>2086</v>
      </c>
      <c r="S238" s="2"/>
      <c r="T238" s="2"/>
      <c r="U238" s="2" t="s">
        <v>2087</v>
      </c>
      <c r="V238" s="7" t="s">
        <v>2088</v>
      </c>
    </row>
    <row r="239" customFormat="false" ht="85.05" hidden="false" customHeight="false" outlineLevel="0" collapsed="false">
      <c r="A239" s="2" t="s">
        <v>2089</v>
      </c>
      <c r="B239" s="2" t="s">
        <v>2090</v>
      </c>
      <c r="C239" s="12" t="s">
        <v>1578</v>
      </c>
      <c r="D239" s="2" t="s">
        <v>2091</v>
      </c>
      <c r="E239" s="2" t="s">
        <v>490</v>
      </c>
      <c r="F239" s="2" t="s">
        <v>77</v>
      </c>
      <c r="G239" s="2" t="s">
        <v>77</v>
      </c>
      <c r="H239" s="2" t="s">
        <v>2068</v>
      </c>
      <c r="I239" s="2" t="s">
        <v>1053</v>
      </c>
      <c r="J239" s="2" t="s">
        <v>2069</v>
      </c>
      <c r="K239" s="2" t="s">
        <v>2092</v>
      </c>
      <c r="L239" s="2" t="s">
        <v>553</v>
      </c>
      <c r="M239" s="2" t="s">
        <v>114</v>
      </c>
      <c r="N239" s="2" t="s">
        <v>2093</v>
      </c>
      <c r="O239" s="2" t="s">
        <v>35</v>
      </c>
      <c r="P239" s="2" t="s">
        <v>1605</v>
      </c>
      <c r="Q239" s="2"/>
      <c r="R239" s="2" t="s">
        <v>2094</v>
      </c>
      <c r="S239" s="2" t="s">
        <v>2095</v>
      </c>
      <c r="T239" s="2" t="s">
        <v>2096</v>
      </c>
      <c r="U239" s="2"/>
      <c r="V239" s="7" t="s">
        <v>2097</v>
      </c>
    </row>
    <row r="240" customFormat="false" ht="74.6" hidden="false" customHeight="false" outlineLevel="0" collapsed="false">
      <c r="A240" s="2" t="s">
        <v>2098</v>
      </c>
      <c r="B240" s="2" t="s">
        <v>2099</v>
      </c>
      <c r="C240" s="12" t="s">
        <v>1578</v>
      </c>
      <c r="D240" s="2" t="s">
        <v>2100</v>
      </c>
      <c r="E240" s="2" t="s">
        <v>490</v>
      </c>
      <c r="F240" s="2" t="s">
        <v>77</v>
      </c>
      <c r="G240" s="2" t="s">
        <v>77</v>
      </c>
      <c r="H240" s="2" t="s">
        <v>2068</v>
      </c>
      <c r="I240" s="2" t="s">
        <v>1053</v>
      </c>
      <c r="J240" s="2" t="s">
        <v>2069</v>
      </c>
      <c r="K240" s="2" t="s">
        <v>2070</v>
      </c>
      <c r="L240" s="2" t="s">
        <v>553</v>
      </c>
      <c r="M240" s="2" t="s">
        <v>114</v>
      </c>
      <c r="N240" s="2" t="s">
        <v>2101</v>
      </c>
      <c r="O240" s="2" t="s">
        <v>35</v>
      </c>
      <c r="P240" s="2" t="s">
        <v>1605</v>
      </c>
      <c r="Q240" s="2"/>
      <c r="R240" s="2" t="s">
        <v>2102</v>
      </c>
      <c r="S240" s="2"/>
      <c r="T240" s="2"/>
      <c r="U240" s="2" t="s">
        <v>560</v>
      </c>
      <c r="V240" s="2"/>
    </row>
    <row r="241" customFormat="false" ht="74.6" hidden="false" customHeight="false" outlineLevel="0" collapsed="false">
      <c r="A241" s="2" t="s">
        <v>2103</v>
      </c>
      <c r="B241" s="2" t="s">
        <v>2104</v>
      </c>
      <c r="C241" s="12" t="s">
        <v>1578</v>
      </c>
      <c r="D241" s="2" t="s">
        <v>2105</v>
      </c>
      <c r="E241" s="2" t="s">
        <v>490</v>
      </c>
      <c r="F241" s="2" t="s">
        <v>77</v>
      </c>
      <c r="G241" s="2" t="s">
        <v>77</v>
      </c>
      <c r="H241" s="2" t="s">
        <v>2068</v>
      </c>
      <c r="I241" s="2" t="s">
        <v>1053</v>
      </c>
      <c r="J241" s="2" t="s">
        <v>2069</v>
      </c>
      <c r="K241" s="2" t="s">
        <v>2106</v>
      </c>
      <c r="L241" s="2" t="s">
        <v>553</v>
      </c>
      <c r="M241" s="2" t="s">
        <v>114</v>
      </c>
      <c r="N241" s="2" t="s">
        <v>2093</v>
      </c>
      <c r="O241" s="2" t="s">
        <v>35</v>
      </c>
      <c r="P241" s="2" t="s">
        <v>1605</v>
      </c>
      <c r="Q241" s="2"/>
      <c r="R241" s="2" t="s">
        <v>2107</v>
      </c>
      <c r="S241" s="2" t="s">
        <v>2108</v>
      </c>
      <c r="T241" s="2" t="s">
        <v>2109</v>
      </c>
      <c r="U241" s="2" t="s">
        <v>2110</v>
      </c>
      <c r="V241" s="2"/>
    </row>
    <row r="242" customFormat="false" ht="22.35" hidden="false" customHeight="false" outlineLevel="0" collapsed="false">
      <c r="A242" s="2" t="s">
        <v>2111</v>
      </c>
      <c r="B242" s="2" t="s">
        <v>2112</v>
      </c>
      <c r="C242" s="12" t="s">
        <v>1578</v>
      </c>
      <c r="D242" s="2" t="s">
        <v>2113</v>
      </c>
      <c r="E242" s="2" t="s">
        <v>490</v>
      </c>
      <c r="F242" s="2" t="s">
        <v>77</v>
      </c>
      <c r="G242" s="2" t="s">
        <v>77</v>
      </c>
      <c r="H242" s="2" t="s">
        <v>2068</v>
      </c>
      <c r="I242" s="2" t="s">
        <v>1053</v>
      </c>
      <c r="J242" s="2" t="s">
        <v>2069</v>
      </c>
      <c r="K242" s="2" t="s">
        <v>2084</v>
      </c>
      <c r="L242" s="2" t="s">
        <v>553</v>
      </c>
      <c r="M242" s="2" t="s">
        <v>114</v>
      </c>
      <c r="N242" s="2" t="s">
        <v>2114</v>
      </c>
      <c r="O242" s="2" t="s">
        <v>35</v>
      </c>
      <c r="P242" s="2" t="s">
        <v>1605</v>
      </c>
      <c r="Q242" s="2"/>
      <c r="R242" s="2" t="s">
        <v>2115</v>
      </c>
      <c r="S242" s="2"/>
      <c r="T242" s="2" t="s">
        <v>2116</v>
      </c>
      <c r="U242" s="2"/>
      <c r="V242" s="2"/>
    </row>
    <row r="243" customFormat="false" ht="74.6" hidden="false" customHeight="false" outlineLevel="0" collapsed="false">
      <c r="A243" s="2" t="s">
        <v>2117</v>
      </c>
      <c r="B243" s="2" t="s">
        <v>2118</v>
      </c>
      <c r="C243" s="12" t="s">
        <v>1578</v>
      </c>
      <c r="D243" s="2" t="s">
        <v>1706</v>
      </c>
      <c r="E243" s="2" t="s">
        <v>1425</v>
      </c>
      <c r="F243" s="4" t="s">
        <v>27</v>
      </c>
      <c r="G243" s="2" t="s">
        <v>77</v>
      </c>
      <c r="H243" s="2" t="s">
        <v>1707</v>
      </c>
      <c r="I243" s="2" t="s">
        <v>96</v>
      </c>
      <c r="J243" s="2" t="s">
        <v>96</v>
      </c>
      <c r="K243" s="2" t="s">
        <v>1581</v>
      </c>
      <c r="L243" s="2" t="s">
        <v>553</v>
      </c>
      <c r="M243" s="2" t="s">
        <v>114</v>
      </c>
      <c r="N243" s="2" t="s">
        <v>381</v>
      </c>
      <c r="O243" s="2" t="s">
        <v>96</v>
      </c>
      <c r="P243" s="2" t="s">
        <v>258</v>
      </c>
      <c r="Q243" s="2" t="s">
        <v>1895</v>
      </c>
      <c r="R243" s="2" t="s">
        <v>1709</v>
      </c>
      <c r="S243" s="2" t="s">
        <v>1710</v>
      </c>
      <c r="T243" s="2" t="s">
        <v>1711</v>
      </c>
      <c r="U243" s="2"/>
      <c r="V243" s="2"/>
    </row>
    <row r="244" customFormat="false" ht="32.8" hidden="false" customHeight="false" outlineLevel="0" collapsed="false">
      <c r="A244" s="2" t="s">
        <v>2119</v>
      </c>
      <c r="B244" s="2" t="s">
        <v>2120</v>
      </c>
      <c r="C244" s="12" t="s">
        <v>1578</v>
      </c>
      <c r="D244" s="2" t="s">
        <v>2121</v>
      </c>
      <c r="E244" s="2" t="s">
        <v>210</v>
      </c>
      <c r="F244" s="4" t="s">
        <v>27</v>
      </c>
      <c r="G244" s="2" t="s">
        <v>77</v>
      </c>
      <c r="H244" s="2" t="s">
        <v>1612</v>
      </c>
      <c r="I244" s="2" t="s">
        <v>96</v>
      </c>
      <c r="J244" s="2" t="s">
        <v>96</v>
      </c>
      <c r="K244" s="2" t="s">
        <v>1581</v>
      </c>
      <c r="L244" s="2" t="s">
        <v>553</v>
      </c>
      <c r="M244" s="2" t="s">
        <v>114</v>
      </c>
      <c r="N244" s="2" t="s">
        <v>1677</v>
      </c>
      <c r="O244" s="2" t="s">
        <v>96</v>
      </c>
      <c r="P244" s="2" t="s">
        <v>258</v>
      </c>
      <c r="Q244" s="2" t="s">
        <v>2122</v>
      </c>
      <c r="R244" s="2"/>
      <c r="S244" s="2" t="s">
        <v>2123</v>
      </c>
      <c r="T244" s="2"/>
      <c r="U244" s="2"/>
      <c r="V244" s="2"/>
    </row>
    <row r="245" customFormat="false" ht="74.6" hidden="false" customHeight="false" outlineLevel="0" collapsed="false">
      <c r="A245" s="2" t="s">
        <v>2124</v>
      </c>
      <c r="B245" s="2" t="s">
        <v>2125</v>
      </c>
      <c r="C245" s="12" t="s">
        <v>1578</v>
      </c>
      <c r="D245" s="2" t="s">
        <v>1706</v>
      </c>
      <c r="E245" s="2" t="s">
        <v>1425</v>
      </c>
      <c r="F245" s="4" t="s">
        <v>27</v>
      </c>
      <c r="G245" s="2" t="s">
        <v>77</v>
      </c>
      <c r="H245" s="2" t="s">
        <v>1707</v>
      </c>
      <c r="I245" s="2" t="s">
        <v>96</v>
      </c>
      <c r="J245" s="2" t="s">
        <v>96</v>
      </c>
      <c r="K245" s="2" t="s">
        <v>1581</v>
      </c>
      <c r="L245" s="2" t="s">
        <v>553</v>
      </c>
      <c r="M245" s="2" t="s">
        <v>114</v>
      </c>
      <c r="N245" s="2" t="s">
        <v>381</v>
      </c>
      <c r="O245" s="2" t="s">
        <v>96</v>
      </c>
      <c r="P245" s="2" t="s">
        <v>258</v>
      </c>
      <c r="Q245" s="2" t="s">
        <v>2126</v>
      </c>
      <c r="R245" s="2" t="s">
        <v>1709</v>
      </c>
      <c r="S245" s="2" t="s">
        <v>1710</v>
      </c>
      <c r="T245" s="2" t="s">
        <v>1711</v>
      </c>
      <c r="U245" s="2"/>
      <c r="V245" s="2"/>
    </row>
    <row r="246" customFormat="false" ht="43.25" hidden="false" customHeight="false" outlineLevel="0" collapsed="false">
      <c r="A246" s="2" t="s">
        <v>2127</v>
      </c>
      <c r="B246" s="2" t="s">
        <v>2128</v>
      </c>
      <c r="C246" s="12" t="s">
        <v>1578</v>
      </c>
      <c r="D246" s="2" t="s">
        <v>2129</v>
      </c>
      <c r="E246" s="2" t="s">
        <v>76</v>
      </c>
      <c r="F246" s="2" t="s">
        <v>77</v>
      </c>
      <c r="G246" s="2" t="s">
        <v>77</v>
      </c>
      <c r="H246" s="2" t="s">
        <v>402</v>
      </c>
      <c r="I246" s="2" t="s">
        <v>96</v>
      </c>
      <c r="J246" s="2" t="s">
        <v>96</v>
      </c>
      <c r="K246" s="2" t="s">
        <v>1996</v>
      </c>
      <c r="L246" s="2" t="s">
        <v>553</v>
      </c>
      <c r="M246" s="2" t="s">
        <v>114</v>
      </c>
      <c r="N246" s="2" t="s">
        <v>381</v>
      </c>
      <c r="O246" s="2" t="s">
        <v>96</v>
      </c>
      <c r="P246" s="2" t="s">
        <v>258</v>
      </c>
      <c r="Q246" s="2" t="s">
        <v>2130</v>
      </c>
      <c r="R246" s="2" t="s">
        <v>2131</v>
      </c>
      <c r="S246" s="2"/>
      <c r="T246" s="2" t="s">
        <v>2132</v>
      </c>
      <c r="U246" s="2"/>
      <c r="V246" s="2"/>
    </row>
    <row r="247" customFormat="false" ht="64.15" hidden="false" customHeight="false" outlineLevel="0" collapsed="false">
      <c r="A247" s="2" t="s">
        <v>2133</v>
      </c>
      <c r="B247" s="2" t="s">
        <v>2134</v>
      </c>
      <c r="C247" s="12" t="s">
        <v>1578</v>
      </c>
      <c r="D247" s="2" t="s">
        <v>1699</v>
      </c>
      <c r="E247" s="2" t="s">
        <v>296</v>
      </c>
      <c r="F247" s="2" t="s">
        <v>77</v>
      </c>
      <c r="G247" s="2" t="s">
        <v>77</v>
      </c>
      <c r="H247" s="2" t="s">
        <v>656</v>
      </c>
      <c r="I247" s="2" t="s">
        <v>96</v>
      </c>
      <c r="J247" s="2" t="s">
        <v>96</v>
      </c>
      <c r="K247" s="2" t="s">
        <v>1700</v>
      </c>
      <c r="L247" s="2" t="s">
        <v>553</v>
      </c>
      <c r="M247" s="2" t="s">
        <v>114</v>
      </c>
      <c r="N247" s="2" t="s">
        <v>1677</v>
      </c>
      <c r="O247" s="2" t="s">
        <v>96</v>
      </c>
      <c r="P247" s="2" t="s">
        <v>258</v>
      </c>
      <c r="Q247" s="2" t="s">
        <v>2135</v>
      </c>
      <c r="R247" s="2"/>
      <c r="S247" s="2" t="s">
        <v>1702</v>
      </c>
      <c r="T247" s="2" t="s">
        <v>1703</v>
      </c>
      <c r="U247" s="2"/>
      <c r="V247" s="2"/>
    </row>
    <row r="248" customFormat="false" ht="64.15" hidden="false" customHeight="false" outlineLevel="0" collapsed="false">
      <c r="A248" s="2" t="s">
        <v>2136</v>
      </c>
      <c r="B248" s="2" t="s">
        <v>2137</v>
      </c>
      <c r="C248" s="12" t="s">
        <v>1578</v>
      </c>
      <c r="D248" s="2" t="s">
        <v>2138</v>
      </c>
      <c r="E248" s="2" t="s">
        <v>210</v>
      </c>
      <c r="F248" s="4" t="s">
        <v>27</v>
      </c>
      <c r="G248" s="2" t="s">
        <v>77</v>
      </c>
      <c r="H248" s="2" t="s">
        <v>1869</v>
      </c>
      <c r="I248" s="2" t="s">
        <v>96</v>
      </c>
      <c r="J248" s="2" t="s">
        <v>2139</v>
      </c>
      <c r="K248" s="2" t="s">
        <v>1581</v>
      </c>
      <c r="L248" s="2" t="s">
        <v>553</v>
      </c>
      <c r="M248" s="2" t="s">
        <v>114</v>
      </c>
      <c r="N248" s="2" t="s">
        <v>381</v>
      </c>
      <c r="O248" s="2" t="s">
        <v>96</v>
      </c>
      <c r="P248" s="2" t="s">
        <v>258</v>
      </c>
      <c r="Q248" s="2" t="s">
        <v>2140</v>
      </c>
      <c r="R248" s="2" t="s">
        <v>2141</v>
      </c>
      <c r="S248" s="2" t="s">
        <v>2142</v>
      </c>
      <c r="T248" s="2" t="s">
        <v>2143</v>
      </c>
      <c r="U248" s="2"/>
      <c r="V248" s="2"/>
    </row>
    <row r="249" customFormat="false" ht="43.25" hidden="false" customHeight="false" outlineLevel="0" collapsed="false">
      <c r="A249" s="2" t="s">
        <v>2144</v>
      </c>
      <c r="B249" s="2" t="s">
        <v>2145</v>
      </c>
      <c r="C249" s="12" t="s">
        <v>1578</v>
      </c>
      <c r="D249" s="2" t="s">
        <v>1732</v>
      </c>
      <c r="E249" s="2" t="s">
        <v>76</v>
      </c>
      <c r="F249" s="2" t="s">
        <v>77</v>
      </c>
      <c r="G249" s="2" t="s">
        <v>77</v>
      </c>
      <c r="H249" s="2" t="s">
        <v>402</v>
      </c>
      <c r="I249" s="2" t="s">
        <v>96</v>
      </c>
      <c r="J249" s="2" t="s">
        <v>96</v>
      </c>
      <c r="K249" s="2" t="s">
        <v>81</v>
      </c>
      <c r="L249" s="2" t="s">
        <v>553</v>
      </c>
      <c r="M249" s="2" t="s">
        <v>114</v>
      </c>
      <c r="N249" s="2" t="s">
        <v>381</v>
      </c>
      <c r="O249" s="2" t="s">
        <v>96</v>
      </c>
      <c r="P249" s="2" t="s">
        <v>1053</v>
      </c>
      <c r="Q249" s="2" t="s">
        <v>2146</v>
      </c>
      <c r="R249" s="2" t="s">
        <v>1734</v>
      </c>
      <c r="S249" s="2" t="s">
        <v>1735</v>
      </c>
      <c r="T249" s="2" t="s">
        <v>1736</v>
      </c>
      <c r="U249" s="2"/>
      <c r="V249" s="2"/>
    </row>
    <row r="250" customFormat="false" ht="53.7" hidden="false" customHeight="false" outlineLevel="0" collapsed="false">
      <c r="A250" s="2" t="s">
        <v>2147</v>
      </c>
      <c r="B250" s="2" t="s">
        <v>2148</v>
      </c>
      <c r="C250" s="12" t="s">
        <v>1578</v>
      </c>
      <c r="D250" s="2" t="s">
        <v>2149</v>
      </c>
      <c r="E250" s="2" t="s">
        <v>490</v>
      </c>
      <c r="F250" s="2" t="s">
        <v>77</v>
      </c>
      <c r="G250" s="2" t="s">
        <v>77</v>
      </c>
      <c r="H250" s="2" t="s">
        <v>1601</v>
      </c>
      <c r="I250" s="2" t="s">
        <v>96</v>
      </c>
      <c r="J250" s="2" t="s">
        <v>96</v>
      </c>
      <c r="K250" s="2" t="s">
        <v>2070</v>
      </c>
      <c r="L250" s="2" t="s">
        <v>553</v>
      </c>
      <c r="M250" s="2" t="s">
        <v>114</v>
      </c>
      <c r="N250" s="2" t="s">
        <v>1661</v>
      </c>
      <c r="O250" s="2" t="s">
        <v>96</v>
      </c>
      <c r="P250" s="2" t="s">
        <v>1605</v>
      </c>
      <c r="Q250" s="2"/>
      <c r="R250" s="2"/>
      <c r="S250" s="2" t="s">
        <v>2150</v>
      </c>
      <c r="T250" s="2" t="s">
        <v>2151</v>
      </c>
      <c r="U250" s="2"/>
      <c r="V250" s="7" t="s">
        <v>2152</v>
      </c>
    </row>
    <row r="251" customFormat="false" ht="116.4" hidden="false" customHeight="false" outlineLevel="0" collapsed="false">
      <c r="A251" s="2" t="s">
        <v>2153</v>
      </c>
      <c r="B251" s="2" t="s">
        <v>2154</v>
      </c>
      <c r="C251" s="12" t="s">
        <v>1578</v>
      </c>
      <c r="D251" s="2" t="s">
        <v>2155</v>
      </c>
      <c r="E251" s="2" t="s">
        <v>210</v>
      </c>
      <c r="F251" s="4" t="s">
        <v>27</v>
      </c>
      <c r="G251" s="2" t="s">
        <v>77</v>
      </c>
      <c r="H251" s="2" t="s">
        <v>2156</v>
      </c>
      <c r="I251" s="2" t="s">
        <v>96</v>
      </c>
      <c r="J251" s="2" t="s">
        <v>2157</v>
      </c>
      <c r="K251" s="2" t="s">
        <v>1581</v>
      </c>
      <c r="L251" s="2" t="s">
        <v>553</v>
      </c>
      <c r="M251" s="2" t="s">
        <v>114</v>
      </c>
      <c r="N251" s="2" t="s">
        <v>1677</v>
      </c>
      <c r="O251" s="2" t="s">
        <v>96</v>
      </c>
      <c r="P251" s="2" t="s">
        <v>258</v>
      </c>
      <c r="Q251" s="2" t="s">
        <v>2158</v>
      </c>
      <c r="R251" s="2" t="s">
        <v>2159</v>
      </c>
      <c r="S251" s="2" t="s">
        <v>2160</v>
      </c>
      <c r="T251" s="2" t="s">
        <v>2161</v>
      </c>
      <c r="U251" s="2"/>
      <c r="V251" s="2"/>
    </row>
    <row r="252" customFormat="false" ht="53.7" hidden="false" customHeight="false" outlineLevel="0" collapsed="false">
      <c r="A252" s="2" t="s">
        <v>2162</v>
      </c>
      <c r="B252" s="2" t="s">
        <v>2163</v>
      </c>
      <c r="C252" s="12" t="s">
        <v>1578</v>
      </c>
      <c r="D252" s="2" t="s">
        <v>2164</v>
      </c>
      <c r="E252" s="2" t="s">
        <v>490</v>
      </c>
      <c r="F252" s="2" t="s">
        <v>77</v>
      </c>
      <c r="G252" s="2" t="s">
        <v>77</v>
      </c>
      <c r="H252" s="2" t="s">
        <v>1685</v>
      </c>
      <c r="I252" s="2" t="s">
        <v>492</v>
      </c>
      <c r="J252" s="2" t="s">
        <v>2165</v>
      </c>
      <c r="K252" s="2" t="s">
        <v>2070</v>
      </c>
      <c r="L252" s="2" t="s">
        <v>553</v>
      </c>
      <c r="M252" s="2" t="s">
        <v>114</v>
      </c>
      <c r="N252" s="2" t="s">
        <v>1661</v>
      </c>
      <c r="O252" s="2" t="s">
        <v>96</v>
      </c>
      <c r="P252" s="2" t="s">
        <v>1605</v>
      </c>
      <c r="Q252" s="2"/>
      <c r="R252" s="2" t="s">
        <v>2166</v>
      </c>
      <c r="S252" s="2" t="s">
        <v>2167</v>
      </c>
      <c r="T252" s="2" t="s">
        <v>2168</v>
      </c>
      <c r="U252" s="2"/>
      <c r="V252" s="2"/>
    </row>
    <row r="253" customFormat="false" ht="43.25" hidden="false" customHeight="false" outlineLevel="0" collapsed="false">
      <c r="A253" s="2" t="s">
        <v>2169</v>
      </c>
      <c r="B253" s="2" t="s">
        <v>2170</v>
      </c>
      <c r="C253" s="12" t="s">
        <v>1578</v>
      </c>
      <c r="D253" s="2" t="s">
        <v>2129</v>
      </c>
      <c r="E253" s="2" t="s">
        <v>76</v>
      </c>
      <c r="F253" s="2" t="s">
        <v>77</v>
      </c>
      <c r="G253" s="2" t="s">
        <v>77</v>
      </c>
      <c r="H253" s="2" t="s">
        <v>402</v>
      </c>
      <c r="I253" s="2" t="s">
        <v>96</v>
      </c>
      <c r="J253" s="2" t="s">
        <v>96</v>
      </c>
      <c r="K253" s="2" t="s">
        <v>1996</v>
      </c>
      <c r="L253" s="2" t="s">
        <v>553</v>
      </c>
      <c r="M253" s="2" t="s">
        <v>114</v>
      </c>
      <c r="N253" s="2" t="s">
        <v>381</v>
      </c>
      <c r="O253" s="2" t="s">
        <v>96</v>
      </c>
      <c r="P253" s="2" t="s">
        <v>258</v>
      </c>
      <c r="Q253" s="2" t="s">
        <v>2130</v>
      </c>
      <c r="R253" s="2" t="s">
        <v>2131</v>
      </c>
      <c r="S253" s="2"/>
      <c r="T253" s="2" t="s">
        <v>2132</v>
      </c>
      <c r="U253" s="2"/>
      <c r="V253" s="2"/>
    </row>
    <row r="254" customFormat="false" ht="64.15" hidden="false" customHeight="false" outlineLevel="0" collapsed="false">
      <c r="A254" s="2" t="s">
        <v>2171</v>
      </c>
      <c r="B254" s="2" t="s">
        <v>2172</v>
      </c>
      <c r="C254" s="12" t="s">
        <v>1578</v>
      </c>
      <c r="D254" s="2" t="s">
        <v>2173</v>
      </c>
      <c r="E254" s="2" t="s">
        <v>296</v>
      </c>
      <c r="F254" s="2" t="s">
        <v>77</v>
      </c>
      <c r="G254" s="2" t="s">
        <v>77</v>
      </c>
      <c r="H254" s="2" t="s">
        <v>2174</v>
      </c>
      <c r="I254" s="2" t="s">
        <v>1053</v>
      </c>
      <c r="J254" s="2" t="s">
        <v>2175</v>
      </c>
      <c r="K254" s="2" t="s">
        <v>2176</v>
      </c>
      <c r="L254" s="2" t="s">
        <v>553</v>
      </c>
      <c r="M254" s="2" t="s">
        <v>114</v>
      </c>
      <c r="N254" s="2" t="s">
        <v>1677</v>
      </c>
      <c r="O254" s="2" t="s">
        <v>96</v>
      </c>
      <c r="P254" s="2" t="s">
        <v>1605</v>
      </c>
      <c r="Q254" s="2"/>
      <c r="R254" s="2" t="s">
        <v>2177</v>
      </c>
      <c r="S254" s="2" t="s">
        <v>2178</v>
      </c>
      <c r="T254" s="2" t="s">
        <v>2179</v>
      </c>
      <c r="U254" s="2"/>
      <c r="V254" s="2"/>
    </row>
    <row r="255" customFormat="false" ht="32.8" hidden="false" customHeight="false" outlineLevel="0" collapsed="false">
      <c r="A255" s="2" t="s">
        <v>2180</v>
      </c>
      <c r="B255" s="2" t="s">
        <v>2181</v>
      </c>
      <c r="C255" s="12" t="s">
        <v>1578</v>
      </c>
      <c r="D255" s="2" t="s">
        <v>2182</v>
      </c>
      <c r="E255" s="2" t="s">
        <v>1051</v>
      </c>
      <c r="F255" s="2" t="s">
        <v>77</v>
      </c>
      <c r="G255" s="2" t="s">
        <v>77</v>
      </c>
      <c r="H255" s="2" t="s">
        <v>402</v>
      </c>
      <c r="I255" s="2" t="s">
        <v>96</v>
      </c>
      <c r="J255" s="2" t="s">
        <v>96</v>
      </c>
      <c r="K255" s="2" t="s">
        <v>81</v>
      </c>
      <c r="L255" s="2" t="s">
        <v>553</v>
      </c>
      <c r="M255" s="2" t="s">
        <v>114</v>
      </c>
      <c r="N255" s="2" t="s">
        <v>1661</v>
      </c>
      <c r="O255" s="2" t="s">
        <v>96</v>
      </c>
      <c r="P255" s="2" t="s">
        <v>1053</v>
      </c>
      <c r="Q255" s="2" t="s">
        <v>2183</v>
      </c>
      <c r="R255" s="2" t="s">
        <v>2184</v>
      </c>
      <c r="S255" s="2" t="s">
        <v>2185</v>
      </c>
      <c r="T255" s="2"/>
      <c r="U255" s="2"/>
      <c r="V255" s="2"/>
    </row>
    <row r="256" customFormat="false" ht="32.8" hidden="false" customHeight="false" outlineLevel="0" collapsed="false">
      <c r="A256" s="2" t="s">
        <v>2186</v>
      </c>
      <c r="B256" s="2" t="s">
        <v>2187</v>
      </c>
      <c r="C256" s="12" t="s">
        <v>1578</v>
      </c>
      <c r="D256" s="2" t="s">
        <v>1855</v>
      </c>
      <c r="E256" s="2" t="s">
        <v>1051</v>
      </c>
      <c r="F256" s="2" t="s">
        <v>77</v>
      </c>
      <c r="G256" s="2" t="s">
        <v>77</v>
      </c>
      <c r="H256" s="2" t="s">
        <v>402</v>
      </c>
      <c r="I256" s="2" t="s">
        <v>96</v>
      </c>
      <c r="J256" s="2" t="s">
        <v>96</v>
      </c>
      <c r="K256" s="2" t="s">
        <v>1581</v>
      </c>
      <c r="L256" s="2" t="s">
        <v>553</v>
      </c>
      <c r="M256" s="2" t="s">
        <v>114</v>
      </c>
      <c r="N256" s="2" t="s">
        <v>381</v>
      </c>
      <c r="O256" s="2" t="s">
        <v>96</v>
      </c>
      <c r="P256" s="2" t="s">
        <v>1053</v>
      </c>
      <c r="Q256" s="2" t="s">
        <v>2188</v>
      </c>
      <c r="R256" s="2"/>
      <c r="S256" s="2"/>
      <c r="T256" s="2"/>
      <c r="U256" s="2"/>
      <c r="V256" s="2"/>
    </row>
    <row r="257" customFormat="false" ht="32.8" hidden="false" customHeight="false" outlineLevel="0" collapsed="false">
      <c r="A257" s="2" t="s">
        <v>2189</v>
      </c>
      <c r="B257" s="2" t="s">
        <v>2190</v>
      </c>
      <c r="C257" s="12" t="s">
        <v>1578</v>
      </c>
      <c r="D257" s="2" t="s">
        <v>2191</v>
      </c>
      <c r="E257" s="2" t="s">
        <v>1425</v>
      </c>
      <c r="F257" s="4" t="s">
        <v>27</v>
      </c>
      <c r="G257" s="2" t="s">
        <v>77</v>
      </c>
      <c r="H257" s="2" t="s">
        <v>1707</v>
      </c>
      <c r="I257" s="2" t="s">
        <v>96</v>
      </c>
      <c r="J257" s="2" t="s">
        <v>96</v>
      </c>
      <c r="K257" s="2" t="s">
        <v>1581</v>
      </c>
      <c r="L257" s="2" t="s">
        <v>553</v>
      </c>
      <c r="M257" s="2" t="s">
        <v>114</v>
      </c>
      <c r="N257" s="2" t="s">
        <v>2192</v>
      </c>
      <c r="O257" s="2" t="s">
        <v>96</v>
      </c>
      <c r="P257" s="2" t="s">
        <v>258</v>
      </c>
      <c r="Q257" s="2" t="s">
        <v>2193</v>
      </c>
      <c r="R257" s="2" t="s">
        <v>2194</v>
      </c>
      <c r="S257" s="2"/>
      <c r="T257" s="2" t="s">
        <v>2195</v>
      </c>
      <c r="U257" s="2"/>
      <c r="V257" s="2"/>
    </row>
    <row r="258" customFormat="false" ht="74.6" hidden="false" customHeight="false" outlineLevel="0" collapsed="false">
      <c r="A258" s="2" t="s">
        <v>2196</v>
      </c>
      <c r="B258" s="2" t="s">
        <v>2197</v>
      </c>
      <c r="C258" s="12" t="s">
        <v>1578</v>
      </c>
      <c r="D258" s="2" t="s">
        <v>1706</v>
      </c>
      <c r="E258" s="2" t="s">
        <v>1425</v>
      </c>
      <c r="F258" s="4" t="s">
        <v>27</v>
      </c>
      <c r="G258" s="2" t="s">
        <v>77</v>
      </c>
      <c r="H258" s="2" t="s">
        <v>1707</v>
      </c>
      <c r="I258" s="2" t="s">
        <v>96</v>
      </c>
      <c r="J258" s="2" t="s">
        <v>96</v>
      </c>
      <c r="K258" s="2" t="s">
        <v>1581</v>
      </c>
      <c r="L258" s="2" t="s">
        <v>553</v>
      </c>
      <c r="M258" s="2" t="s">
        <v>114</v>
      </c>
      <c r="N258" s="2" t="s">
        <v>381</v>
      </c>
      <c r="O258" s="2" t="s">
        <v>96</v>
      </c>
      <c r="P258" s="2" t="s">
        <v>258</v>
      </c>
      <c r="Q258" s="2" t="s">
        <v>2198</v>
      </c>
      <c r="R258" s="2" t="s">
        <v>1709</v>
      </c>
      <c r="S258" s="2" t="s">
        <v>1710</v>
      </c>
      <c r="T258" s="2" t="s">
        <v>1711</v>
      </c>
      <c r="U258" s="2"/>
      <c r="V258" s="2"/>
    </row>
    <row r="259" customFormat="false" ht="74.6" hidden="false" customHeight="false" outlineLevel="0" collapsed="false">
      <c r="A259" s="2" t="s">
        <v>2199</v>
      </c>
      <c r="B259" s="2" t="s">
        <v>2200</v>
      </c>
      <c r="C259" s="12" t="s">
        <v>1578</v>
      </c>
      <c r="D259" s="2" t="s">
        <v>2201</v>
      </c>
      <c r="E259" s="2" t="s">
        <v>76</v>
      </c>
      <c r="F259" s="2" t="s">
        <v>77</v>
      </c>
      <c r="G259" s="2" t="s">
        <v>77</v>
      </c>
      <c r="H259" s="2" t="s">
        <v>402</v>
      </c>
      <c r="I259" s="2" t="s">
        <v>96</v>
      </c>
      <c r="J259" s="2" t="s">
        <v>96</v>
      </c>
      <c r="K259" s="2" t="s">
        <v>81</v>
      </c>
      <c r="L259" s="2" t="s">
        <v>553</v>
      </c>
      <c r="M259" s="2" t="s">
        <v>114</v>
      </c>
      <c r="N259" s="2" t="s">
        <v>381</v>
      </c>
      <c r="O259" s="2" t="s">
        <v>96</v>
      </c>
      <c r="P259" s="2" t="s">
        <v>1053</v>
      </c>
      <c r="Q259" s="2" t="s">
        <v>2202</v>
      </c>
      <c r="R259" s="2" t="s">
        <v>2203</v>
      </c>
      <c r="S259" s="2" t="s">
        <v>2204</v>
      </c>
      <c r="T259" s="2" t="s">
        <v>2205</v>
      </c>
      <c r="U259" s="2"/>
      <c r="V259" s="2"/>
    </row>
    <row r="260" customFormat="false" ht="64.15" hidden="false" customHeight="false" outlineLevel="0" collapsed="false">
      <c r="A260" s="2" t="s">
        <v>2206</v>
      </c>
      <c r="B260" s="2" t="s">
        <v>2207</v>
      </c>
      <c r="C260" s="12" t="s">
        <v>1578</v>
      </c>
      <c r="D260" s="2" t="s">
        <v>2208</v>
      </c>
      <c r="E260" s="2" t="s">
        <v>296</v>
      </c>
      <c r="F260" s="2" t="s">
        <v>77</v>
      </c>
      <c r="G260" s="2" t="s">
        <v>77</v>
      </c>
      <c r="H260" s="2" t="s">
        <v>1071</v>
      </c>
      <c r="I260" s="2" t="s">
        <v>657</v>
      </c>
      <c r="J260" s="2" t="s">
        <v>2209</v>
      </c>
      <c r="K260" s="2" t="s">
        <v>2210</v>
      </c>
      <c r="L260" s="2" t="s">
        <v>553</v>
      </c>
      <c r="M260" s="2" t="s">
        <v>114</v>
      </c>
      <c r="N260" s="2" t="s">
        <v>381</v>
      </c>
      <c r="O260" s="2" t="s">
        <v>96</v>
      </c>
      <c r="P260" s="2" t="s">
        <v>1053</v>
      </c>
      <c r="Q260" s="2" t="s">
        <v>2211</v>
      </c>
      <c r="R260" s="2" t="s">
        <v>2212</v>
      </c>
      <c r="S260" s="2" t="s">
        <v>2213</v>
      </c>
      <c r="T260" s="2" t="s">
        <v>2214</v>
      </c>
      <c r="U260" s="2"/>
      <c r="V260" s="2"/>
    </row>
    <row r="261" customFormat="false" ht="43.25" hidden="false" customHeight="false" outlineLevel="0" collapsed="false">
      <c r="A261" s="2" t="s">
        <v>2215</v>
      </c>
      <c r="B261" s="2" t="s">
        <v>2216</v>
      </c>
      <c r="C261" s="12" t="s">
        <v>1578</v>
      </c>
      <c r="D261" s="2" t="s">
        <v>2217</v>
      </c>
      <c r="E261" s="2" t="s">
        <v>210</v>
      </c>
      <c r="F261" s="2" t="s">
        <v>77</v>
      </c>
      <c r="G261" s="2" t="s">
        <v>77</v>
      </c>
      <c r="H261" s="2" t="s">
        <v>402</v>
      </c>
      <c r="I261" s="2" t="s">
        <v>96</v>
      </c>
      <c r="J261" s="2" t="s">
        <v>96</v>
      </c>
      <c r="K261" s="2" t="s">
        <v>1996</v>
      </c>
      <c r="L261" s="2" t="s">
        <v>553</v>
      </c>
      <c r="M261" s="2" t="s">
        <v>114</v>
      </c>
      <c r="N261" s="2" t="s">
        <v>381</v>
      </c>
      <c r="O261" s="2" t="s">
        <v>96</v>
      </c>
      <c r="P261" s="2" t="s">
        <v>258</v>
      </c>
      <c r="Q261" s="2" t="s">
        <v>2218</v>
      </c>
      <c r="R261" s="2"/>
      <c r="S261" s="2" t="s">
        <v>2219</v>
      </c>
      <c r="T261" s="2" t="s">
        <v>262</v>
      </c>
      <c r="U261" s="2"/>
      <c r="V261" s="2"/>
    </row>
    <row r="262" customFormat="false" ht="22.35" hidden="false" customHeight="false" outlineLevel="0" collapsed="false">
      <c r="A262" s="2" t="s">
        <v>2220</v>
      </c>
      <c r="B262" s="2" t="s">
        <v>2221</v>
      </c>
      <c r="C262" s="12" t="s">
        <v>1578</v>
      </c>
      <c r="D262" s="2" t="s">
        <v>1855</v>
      </c>
      <c r="E262" s="2" t="s">
        <v>1051</v>
      </c>
      <c r="F262" s="2" t="s">
        <v>77</v>
      </c>
      <c r="G262" s="2" t="s">
        <v>77</v>
      </c>
      <c r="H262" s="2" t="s">
        <v>402</v>
      </c>
      <c r="I262" s="2" t="s">
        <v>96</v>
      </c>
      <c r="J262" s="2" t="s">
        <v>96</v>
      </c>
      <c r="K262" s="2" t="s">
        <v>1581</v>
      </c>
      <c r="L262" s="2" t="s">
        <v>553</v>
      </c>
      <c r="M262" s="2" t="s">
        <v>114</v>
      </c>
      <c r="N262" s="2" t="s">
        <v>381</v>
      </c>
      <c r="O262" s="2" t="s">
        <v>96</v>
      </c>
      <c r="P262" s="2" t="s">
        <v>1053</v>
      </c>
      <c r="Q262" s="2" t="s">
        <v>1856</v>
      </c>
      <c r="R262" s="2"/>
      <c r="S262" s="2"/>
      <c r="T262" s="2" t="s">
        <v>1857</v>
      </c>
      <c r="U262" s="2"/>
      <c r="V262" s="2"/>
    </row>
    <row r="263" customFormat="false" ht="74.6" hidden="false" customHeight="false" outlineLevel="0" collapsed="false">
      <c r="A263" s="2" t="s">
        <v>2222</v>
      </c>
      <c r="B263" s="2" t="s">
        <v>2223</v>
      </c>
      <c r="C263" s="12" t="s">
        <v>1578</v>
      </c>
      <c r="D263" s="2" t="s">
        <v>1706</v>
      </c>
      <c r="E263" s="2" t="s">
        <v>1425</v>
      </c>
      <c r="F263" s="4" t="s">
        <v>27</v>
      </c>
      <c r="G263" s="2" t="s">
        <v>77</v>
      </c>
      <c r="H263" s="2" t="s">
        <v>1707</v>
      </c>
      <c r="I263" s="2" t="s">
        <v>96</v>
      </c>
      <c r="J263" s="2" t="s">
        <v>96</v>
      </c>
      <c r="K263" s="2" t="s">
        <v>1581</v>
      </c>
      <c r="L263" s="2" t="s">
        <v>553</v>
      </c>
      <c r="M263" s="2" t="s">
        <v>114</v>
      </c>
      <c r="N263" s="2" t="s">
        <v>381</v>
      </c>
      <c r="O263" s="2" t="s">
        <v>96</v>
      </c>
      <c r="P263" s="2" t="s">
        <v>258</v>
      </c>
      <c r="Q263" s="2" t="s">
        <v>2224</v>
      </c>
      <c r="R263" s="2" t="s">
        <v>1709</v>
      </c>
      <c r="S263" s="2" t="s">
        <v>1710</v>
      </c>
      <c r="T263" s="2" t="s">
        <v>1711</v>
      </c>
      <c r="U263" s="2"/>
      <c r="V263" s="2"/>
    </row>
    <row r="264" customFormat="false" ht="22.35" hidden="false" customHeight="false" outlineLevel="0" collapsed="false">
      <c r="A264" s="2" t="s">
        <v>2225</v>
      </c>
      <c r="B264" s="2" t="s">
        <v>2226</v>
      </c>
      <c r="C264" s="12" t="s">
        <v>1578</v>
      </c>
      <c r="D264" s="2" t="s">
        <v>2227</v>
      </c>
      <c r="E264" s="2" t="s">
        <v>1051</v>
      </c>
      <c r="F264" s="2" t="s">
        <v>77</v>
      </c>
      <c r="G264" s="2" t="s">
        <v>77</v>
      </c>
      <c r="H264" s="2" t="s">
        <v>402</v>
      </c>
      <c r="I264" s="2" t="s">
        <v>96</v>
      </c>
      <c r="J264" s="2" t="s">
        <v>96</v>
      </c>
      <c r="K264" s="2" t="s">
        <v>1581</v>
      </c>
      <c r="L264" s="2" t="s">
        <v>553</v>
      </c>
      <c r="M264" s="2" t="s">
        <v>114</v>
      </c>
      <c r="N264" s="2" t="s">
        <v>381</v>
      </c>
      <c r="O264" s="2" t="s">
        <v>96</v>
      </c>
      <c r="P264" s="2" t="s">
        <v>1053</v>
      </c>
      <c r="Q264" s="2" t="s">
        <v>2228</v>
      </c>
      <c r="R264" s="2"/>
      <c r="S264" s="2"/>
      <c r="T264" s="2" t="s">
        <v>2229</v>
      </c>
      <c r="U264" s="2"/>
      <c r="V264" s="7" t="s">
        <v>2230</v>
      </c>
    </row>
    <row r="265" customFormat="false" ht="85.05" hidden="false" customHeight="false" outlineLevel="0" collapsed="false">
      <c r="A265" s="2" t="s">
        <v>2231</v>
      </c>
      <c r="B265" s="2" t="s">
        <v>2232</v>
      </c>
      <c r="C265" s="12" t="s">
        <v>1578</v>
      </c>
      <c r="D265" s="2" t="s">
        <v>2233</v>
      </c>
      <c r="E265" s="2" t="s">
        <v>296</v>
      </c>
      <c r="F265" s="2" t="s">
        <v>77</v>
      </c>
      <c r="G265" s="2" t="s">
        <v>77</v>
      </c>
      <c r="H265" s="2" t="s">
        <v>1612</v>
      </c>
      <c r="I265" s="2" t="s">
        <v>96</v>
      </c>
      <c r="J265" s="2" t="s">
        <v>2234</v>
      </c>
      <c r="K265" s="2" t="s">
        <v>2235</v>
      </c>
      <c r="L265" s="2" t="s">
        <v>1774</v>
      </c>
      <c r="M265" s="2" t="s">
        <v>2236</v>
      </c>
      <c r="N265" s="2" t="s">
        <v>2237</v>
      </c>
      <c r="O265" s="2" t="s">
        <v>35</v>
      </c>
      <c r="P265" s="2" t="s">
        <v>2238</v>
      </c>
      <c r="Q265" s="2" t="s">
        <v>2239</v>
      </c>
      <c r="R265" s="2" t="s">
        <v>2240</v>
      </c>
      <c r="S265" s="2"/>
      <c r="T265" s="2" t="s">
        <v>2241</v>
      </c>
      <c r="U265" s="2" t="s">
        <v>2242</v>
      </c>
      <c r="V265" s="2"/>
    </row>
    <row r="266" customFormat="false" ht="53.7" hidden="false" customHeight="false" outlineLevel="0" collapsed="false">
      <c r="A266" s="2" t="s">
        <v>2243</v>
      </c>
      <c r="B266" s="2" t="s">
        <v>2244</v>
      </c>
      <c r="C266" s="12" t="s">
        <v>1578</v>
      </c>
      <c r="D266" s="2" t="s">
        <v>1699</v>
      </c>
      <c r="E266" s="2" t="s">
        <v>296</v>
      </c>
      <c r="F266" s="2" t="s">
        <v>77</v>
      </c>
      <c r="G266" s="2" t="s">
        <v>77</v>
      </c>
      <c r="H266" s="2" t="s">
        <v>656</v>
      </c>
      <c r="I266" s="2" t="s">
        <v>96</v>
      </c>
      <c r="J266" s="2" t="s">
        <v>96</v>
      </c>
      <c r="K266" s="2" t="s">
        <v>1700</v>
      </c>
      <c r="L266" s="2" t="s">
        <v>553</v>
      </c>
      <c r="M266" s="2" t="s">
        <v>114</v>
      </c>
      <c r="N266" s="2" t="s">
        <v>1677</v>
      </c>
      <c r="O266" s="2" t="s">
        <v>96</v>
      </c>
      <c r="P266" s="2" t="s">
        <v>258</v>
      </c>
      <c r="Q266" s="2" t="s">
        <v>2245</v>
      </c>
      <c r="R266" s="2"/>
      <c r="S266" s="2" t="s">
        <v>1702</v>
      </c>
      <c r="T266" s="2" t="s">
        <v>2246</v>
      </c>
      <c r="U266" s="2"/>
      <c r="V266" s="2"/>
    </row>
    <row r="267" customFormat="false" ht="43.25" hidden="false" customHeight="false" outlineLevel="0" collapsed="false">
      <c r="A267" s="2" t="s">
        <v>2247</v>
      </c>
      <c r="B267" s="2" t="s">
        <v>2248</v>
      </c>
      <c r="C267" s="12" t="s">
        <v>1578</v>
      </c>
      <c r="D267" s="2" t="s">
        <v>1732</v>
      </c>
      <c r="E267" s="2" t="s">
        <v>76</v>
      </c>
      <c r="F267" s="2" t="s">
        <v>77</v>
      </c>
      <c r="G267" s="2" t="s">
        <v>77</v>
      </c>
      <c r="H267" s="2" t="s">
        <v>402</v>
      </c>
      <c r="I267" s="2" t="s">
        <v>96</v>
      </c>
      <c r="J267" s="2" t="s">
        <v>96</v>
      </c>
      <c r="K267" s="2" t="s">
        <v>81</v>
      </c>
      <c r="L267" s="2" t="s">
        <v>553</v>
      </c>
      <c r="M267" s="2" t="s">
        <v>114</v>
      </c>
      <c r="N267" s="2" t="s">
        <v>381</v>
      </c>
      <c r="O267" s="2" t="s">
        <v>96</v>
      </c>
      <c r="P267" s="2" t="s">
        <v>1053</v>
      </c>
      <c r="Q267" s="2" t="s">
        <v>2249</v>
      </c>
      <c r="R267" s="2" t="s">
        <v>1734</v>
      </c>
      <c r="S267" s="2" t="s">
        <v>1735</v>
      </c>
      <c r="T267" s="2" t="s">
        <v>1736</v>
      </c>
      <c r="U267" s="2"/>
      <c r="V267" s="2"/>
    </row>
    <row r="268" customFormat="false" ht="53.7" hidden="false" customHeight="false" outlineLevel="0" collapsed="false">
      <c r="A268" s="2" t="s">
        <v>2250</v>
      </c>
      <c r="B268" s="2" t="s">
        <v>2251</v>
      </c>
      <c r="C268" s="12" t="s">
        <v>1578</v>
      </c>
      <c r="D268" s="2" t="s">
        <v>2252</v>
      </c>
      <c r="E268" s="2" t="s">
        <v>296</v>
      </c>
      <c r="F268" s="2" t="s">
        <v>77</v>
      </c>
      <c r="G268" s="2" t="s">
        <v>77</v>
      </c>
      <c r="H268" s="2" t="s">
        <v>2253</v>
      </c>
      <c r="I268" s="2" t="s">
        <v>492</v>
      </c>
      <c r="J268" s="2" t="s">
        <v>2254</v>
      </c>
      <c r="K268" s="2" t="s">
        <v>1581</v>
      </c>
      <c r="L268" s="2" t="s">
        <v>1774</v>
      </c>
      <c r="M268" s="2" t="s">
        <v>2255</v>
      </c>
      <c r="N268" s="2" t="s">
        <v>2256</v>
      </c>
      <c r="O268" s="2" t="s">
        <v>35</v>
      </c>
      <c r="P268" s="2" t="s">
        <v>2257</v>
      </c>
      <c r="Q268" s="2" t="s">
        <v>2258</v>
      </c>
      <c r="R268" s="2" t="s">
        <v>2259</v>
      </c>
      <c r="S268" s="2" t="s">
        <v>2260</v>
      </c>
      <c r="T268" s="2" t="s">
        <v>2261</v>
      </c>
      <c r="U268" s="2" t="s">
        <v>2262</v>
      </c>
      <c r="V268" s="2"/>
    </row>
    <row r="269" customFormat="false" ht="64.15" hidden="false" customHeight="false" outlineLevel="0" collapsed="false">
      <c r="A269" s="2" t="s">
        <v>2263</v>
      </c>
      <c r="B269" s="2" t="s">
        <v>2264</v>
      </c>
      <c r="C269" s="12" t="s">
        <v>1578</v>
      </c>
      <c r="D269" s="2" t="s">
        <v>2265</v>
      </c>
      <c r="E269" s="2" t="s">
        <v>1051</v>
      </c>
      <c r="F269" s="2" t="s">
        <v>77</v>
      </c>
      <c r="G269" s="2" t="s">
        <v>77</v>
      </c>
      <c r="H269" s="2" t="s">
        <v>402</v>
      </c>
      <c r="I269" s="2" t="s">
        <v>1053</v>
      </c>
      <c r="J269" s="2" t="s">
        <v>2266</v>
      </c>
      <c r="K269" s="2" t="s">
        <v>81</v>
      </c>
      <c r="L269" s="2" t="s">
        <v>553</v>
      </c>
      <c r="M269" s="2" t="s">
        <v>114</v>
      </c>
      <c r="N269" s="2" t="s">
        <v>1677</v>
      </c>
      <c r="O269" s="2" t="s">
        <v>96</v>
      </c>
      <c r="P269" s="2" t="s">
        <v>1053</v>
      </c>
      <c r="Q269" s="2" t="s">
        <v>2267</v>
      </c>
      <c r="R269" s="2" t="s">
        <v>2268</v>
      </c>
      <c r="S269" s="2" t="s">
        <v>2269</v>
      </c>
      <c r="T269" s="2" t="s">
        <v>2270</v>
      </c>
      <c r="U269" s="2"/>
      <c r="V269" s="2"/>
    </row>
    <row r="270" customFormat="false" ht="105.95" hidden="false" customHeight="false" outlineLevel="0" collapsed="false">
      <c r="A270" s="2" t="s">
        <v>2271</v>
      </c>
      <c r="B270" s="2" t="s">
        <v>2272</v>
      </c>
      <c r="C270" s="12" t="s">
        <v>1578</v>
      </c>
      <c r="D270" s="2" t="s">
        <v>2273</v>
      </c>
      <c r="E270" s="2" t="s">
        <v>296</v>
      </c>
      <c r="F270" s="2" t="s">
        <v>77</v>
      </c>
      <c r="G270" s="2" t="s">
        <v>77</v>
      </c>
      <c r="H270" s="2" t="s">
        <v>656</v>
      </c>
      <c r="I270" s="2" t="s">
        <v>492</v>
      </c>
      <c r="J270" s="2" t="s">
        <v>2274</v>
      </c>
      <c r="K270" s="2" t="s">
        <v>2275</v>
      </c>
      <c r="L270" s="2" t="s">
        <v>553</v>
      </c>
      <c r="M270" s="2" t="s">
        <v>114</v>
      </c>
      <c r="N270" s="2" t="s">
        <v>1677</v>
      </c>
      <c r="O270" s="2" t="s">
        <v>96</v>
      </c>
      <c r="P270" s="2" t="s">
        <v>258</v>
      </c>
      <c r="Q270" s="2" t="s">
        <v>2276</v>
      </c>
      <c r="R270" s="2" t="s">
        <v>2277</v>
      </c>
      <c r="S270" s="2" t="s">
        <v>2278</v>
      </c>
      <c r="T270" s="2" t="s">
        <v>2279</v>
      </c>
      <c r="U270" s="2"/>
      <c r="V270" s="2"/>
    </row>
    <row r="271" customFormat="false" ht="74.6" hidden="false" customHeight="false" outlineLevel="0" collapsed="false">
      <c r="A271" s="2" t="s">
        <v>2280</v>
      </c>
      <c r="B271" s="2" t="s">
        <v>2281</v>
      </c>
      <c r="C271" s="12" t="s">
        <v>1578</v>
      </c>
      <c r="D271" s="2" t="s">
        <v>1699</v>
      </c>
      <c r="E271" s="2" t="s">
        <v>296</v>
      </c>
      <c r="F271" s="2" t="s">
        <v>77</v>
      </c>
      <c r="G271" s="2" t="s">
        <v>77</v>
      </c>
      <c r="H271" s="2" t="s">
        <v>656</v>
      </c>
      <c r="I271" s="2" t="s">
        <v>96</v>
      </c>
      <c r="J271" s="2" t="s">
        <v>96</v>
      </c>
      <c r="K271" s="2" t="s">
        <v>1700</v>
      </c>
      <c r="L271" s="2" t="s">
        <v>553</v>
      </c>
      <c r="M271" s="2" t="s">
        <v>114</v>
      </c>
      <c r="N271" s="2" t="s">
        <v>1677</v>
      </c>
      <c r="O271" s="2" t="s">
        <v>96</v>
      </c>
      <c r="P271" s="2" t="s">
        <v>258</v>
      </c>
      <c r="Q271" s="2" t="s">
        <v>2282</v>
      </c>
      <c r="R271" s="2"/>
      <c r="S271" s="2" t="s">
        <v>1702</v>
      </c>
      <c r="T271" s="2" t="s">
        <v>2283</v>
      </c>
      <c r="U271" s="2"/>
      <c r="V271" s="2"/>
    </row>
    <row r="272" customFormat="false" ht="53.7" hidden="false" customHeight="false" outlineLevel="0" collapsed="false">
      <c r="A272" s="2" t="s">
        <v>2284</v>
      </c>
      <c r="B272" s="2" t="s">
        <v>2285</v>
      </c>
      <c r="C272" s="12" t="s">
        <v>1578</v>
      </c>
      <c r="D272" s="2" t="s">
        <v>2286</v>
      </c>
      <c r="E272" s="2" t="s">
        <v>1051</v>
      </c>
      <c r="F272" s="2" t="s">
        <v>77</v>
      </c>
      <c r="G272" s="2" t="s">
        <v>77</v>
      </c>
      <c r="H272" s="2" t="s">
        <v>402</v>
      </c>
      <c r="I272" s="2" t="s">
        <v>492</v>
      </c>
      <c r="J272" s="2" t="s">
        <v>2287</v>
      </c>
      <c r="K272" s="2" t="s">
        <v>81</v>
      </c>
      <c r="L272" s="2" t="s">
        <v>553</v>
      </c>
      <c r="M272" s="2" t="s">
        <v>114</v>
      </c>
      <c r="N272" s="2" t="s">
        <v>381</v>
      </c>
      <c r="O272" s="2" t="s">
        <v>96</v>
      </c>
      <c r="P272" s="2" t="s">
        <v>1053</v>
      </c>
      <c r="Q272" s="2" t="s">
        <v>2288</v>
      </c>
      <c r="R272" s="2" t="s">
        <v>2289</v>
      </c>
      <c r="S272" s="2"/>
      <c r="T272" s="2" t="s">
        <v>2290</v>
      </c>
      <c r="U272" s="2"/>
      <c r="V272" s="2"/>
    </row>
    <row r="273" customFormat="false" ht="74.6" hidden="false" customHeight="false" outlineLevel="0" collapsed="false">
      <c r="A273" s="2" t="s">
        <v>2291</v>
      </c>
      <c r="B273" s="2" t="s">
        <v>2292</v>
      </c>
      <c r="C273" s="12" t="s">
        <v>1578</v>
      </c>
      <c r="D273" s="2" t="s">
        <v>2293</v>
      </c>
      <c r="E273" s="2" t="s">
        <v>1425</v>
      </c>
      <c r="F273" s="4" t="s">
        <v>27</v>
      </c>
      <c r="G273" s="2" t="s">
        <v>77</v>
      </c>
      <c r="H273" s="2" t="s">
        <v>1612</v>
      </c>
      <c r="I273" s="2" t="s">
        <v>96</v>
      </c>
      <c r="J273" s="2" t="s">
        <v>96</v>
      </c>
      <c r="K273" s="2" t="s">
        <v>1581</v>
      </c>
      <c r="L273" s="2" t="s">
        <v>553</v>
      </c>
      <c r="M273" s="2" t="s">
        <v>114</v>
      </c>
      <c r="N273" s="2" t="s">
        <v>1443</v>
      </c>
      <c r="O273" s="2" t="s">
        <v>96</v>
      </c>
      <c r="P273" s="2" t="s">
        <v>258</v>
      </c>
      <c r="Q273" s="2" t="s">
        <v>2294</v>
      </c>
      <c r="R273" s="2" t="s">
        <v>2295</v>
      </c>
      <c r="S273" s="2" t="s">
        <v>2296</v>
      </c>
      <c r="T273" s="2" t="s">
        <v>2297</v>
      </c>
      <c r="U273" s="2"/>
      <c r="V273" s="7" t="s">
        <v>2298</v>
      </c>
    </row>
    <row r="274" customFormat="false" ht="53.7" hidden="false" customHeight="false" outlineLevel="0" collapsed="false">
      <c r="A274" s="2" t="s">
        <v>2299</v>
      </c>
      <c r="B274" s="2" t="s">
        <v>2300</v>
      </c>
      <c r="C274" s="12" t="s">
        <v>1578</v>
      </c>
      <c r="D274" s="2" t="s">
        <v>2293</v>
      </c>
      <c r="E274" s="2" t="s">
        <v>1425</v>
      </c>
      <c r="F274" s="4" t="s">
        <v>27</v>
      </c>
      <c r="G274" s="2" t="s">
        <v>77</v>
      </c>
      <c r="H274" s="2" t="s">
        <v>1612</v>
      </c>
      <c r="I274" s="2" t="s">
        <v>96</v>
      </c>
      <c r="J274" s="2" t="s">
        <v>96</v>
      </c>
      <c r="K274" s="2" t="s">
        <v>1581</v>
      </c>
      <c r="L274" s="2" t="s">
        <v>553</v>
      </c>
      <c r="M274" s="2" t="s">
        <v>114</v>
      </c>
      <c r="N274" s="2" t="s">
        <v>1443</v>
      </c>
      <c r="O274" s="2" t="s">
        <v>96</v>
      </c>
      <c r="P274" s="2" t="s">
        <v>258</v>
      </c>
      <c r="Q274" s="2" t="s">
        <v>2301</v>
      </c>
      <c r="R274" s="2" t="s">
        <v>2295</v>
      </c>
      <c r="S274" s="2" t="s">
        <v>2302</v>
      </c>
      <c r="T274" s="2" t="s">
        <v>2297</v>
      </c>
      <c r="U274" s="2"/>
      <c r="V274" s="7" t="s">
        <v>2303</v>
      </c>
    </row>
    <row r="275" customFormat="false" ht="85.05" hidden="false" customHeight="false" outlineLevel="0" collapsed="false">
      <c r="A275" s="2" t="s">
        <v>2304</v>
      </c>
      <c r="B275" s="2" t="s">
        <v>2305</v>
      </c>
      <c r="C275" s="12" t="s">
        <v>1578</v>
      </c>
      <c r="D275" s="2" t="s">
        <v>2306</v>
      </c>
      <c r="E275" s="2" t="s">
        <v>1807</v>
      </c>
      <c r="F275" s="2" t="s">
        <v>77</v>
      </c>
      <c r="G275" s="2" t="s">
        <v>77</v>
      </c>
      <c r="H275" s="2" t="s">
        <v>1807</v>
      </c>
      <c r="I275" s="2" t="s">
        <v>1053</v>
      </c>
      <c r="J275" s="2" t="s">
        <v>1808</v>
      </c>
      <c r="K275" s="2" t="s">
        <v>1809</v>
      </c>
      <c r="L275" s="2" t="s">
        <v>1742</v>
      </c>
      <c r="M275" s="2" t="s">
        <v>1742</v>
      </c>
      <c r="N275" s="2" t="s">
        <v>2307</v>
      </c>
      <c r="O275" s="2" t="s">
        <v>35</v>
      </c>
      <c r="P275" s="2" t="s">
        <v>1605</v>
      </c>
      <c r="Q275" s="2"/>
      <c r="R275" s="2" t="s">
        <v>2308</v>
      </c>
      <c r="S275" s="2"/>
      <c r="T275" s="2"/>
      <c r="U275" s="2" t="s">
        <v>2309</v>
      </c>
      <c r="V275" s="2"/>
    </row>
    <row r="276" customFormat="false" ht="137.3" hidden="false" customHeight="false" outlineLevel="0" collapsed="false">
      <c r="A276" s="2" t="s">
        <v>2310</v>
      </c>
      <c r="B276" s="2" t="s">
        <v>2311</v>
      </c>
      <c r="C276" s="12" t="s">
        <v>1578</v>
      </c>
      <c r="D276" s="2" t="s">
        <v>2312</v>
      </c>
      <c r="E276" s="2" t="s">
        <v>1807</v>
      </c>
      <c r="F276" s="2" t="s">
        <v>77</v>
      </c>
      <c r="G276" s="2" t="s">
        <v>77</v>
      </c>
      <c r="H276" s="2" t="s">
        <v>1807</v>
      </c>
      <c r="I276" s="2" t="s">
        <v>1053</v>
      </c>
      <c r="J276" s="2" t="s">
        <v>1808</v>
      </c>
      <c r="K276" s="2" t="s">
        <v>2313</v>
      </c>
      <c r="L276" s="2" t="s">
        <v>1742</v>
      </c>
      <c r="M276" s="2" t="s">
        <v>1742</v>
      </c>
      <c r="N276" s="2" t="s">
        <v>2314</v>
      </c>
      <c r="O276" s="2" t="s">
        <v>35</v>
      </c>
      <c r="P276" s="2" t="s">
        <v>1605</v>
      </c>
      <c r="Q276" s="2"/>
      <c r="R276" s="2" t="s">
        <v>2315</v>
      </c>
      <c r="S276" s="2"/>
      <c r="T276" s="2"/>
      <c r="U276" s="2" t="s">
        <v>2316</v>
      </c>
      <c r="V276" s="2"/>
    </row>
    <row r="277" customFormat="false" ht="105.95" hidden="false" customHeight="false" outlineLevel="0" collapsed="false">
      <c r="A277" s="2" t="s">
        <v>2317</v>
      </c>
      <c r="B277" s="2" t="s">
        <v>2318</v>
      </c>
      <c r="C277" s="12" t="s">
        <v>1578</v>
      </c>
      <c r="D277" s="2" t="s">
        <v>2319</v>
      </c>
      <c r="E277" s="2" t="s">
        <v>1807</v>
      </c>
      <c r="F277" s="2" t="s">
        <v>77</v>
      </c>
      <c r="G277" s="2" t="s">
        <v>77</v>
      </c>
      <c r="H277" s="2" t="s">
        <v>1807</v>
      </c>
      <c r="I277" s="2" t="s">
        <v>1053</v>
      </c>
      <c r="J277" s="2" t="s">
        <v>1808</v>
      </c>
      <c r="K277" s="2" t="s">
        <v>1809</v>
      </c>
      <c r="L277" s="2" t="s">
        <v>1742</v>
      </c>
      <c r="M277" s="2" t="s">
        <v>1742</v>
      </c>
      <c r="N277" s="2" t="s">
        <v>2320</v>
      </c>
      <c r="O277" s="2" t="s">
        <v>35</v>
      </c>
      <c r="P277" s="2" t="s">
        <v>1605</v>
      </c>
      <c r="Q277" s="2"/>
      <c r="R277" s="2" t="s">
        <v>2321</v>
      </c>
      <c r="S277" s="2"/>
      <c r="T277" s="2"/>
      <c r="U277" s="2" t="s">
        <v>2322</v>
      </c>
      <c r="V277" s="2"/>
    </row>
    <row r="278" customFormat="false" ht="74.6" hidden="false" customHeight="false" outlineLevel="0" collapsed="false">
      <c r="A278" s="2" t="s">
        <v>2323</v>
      </c>
      <c r="B278" s="2" t="s">
        <v>2324</v>
      </c>
      <c r="C278" s="12" t="s">
        <v>1578</v>
      </c>
      <c r="D278" s="2" t="s">
        <v>2325</v>
      </c>
      <c r="E278" s="2" t="s">
        <v>1807</v>
      </c>
      <c r="F278" s="2" t="s">
        <v>77</v>
      </c>
      <c r="G278" s="2" t="s">
        <v>77</v>
      </c>
      <c r="H278" s="2" t="s">
        <v>1807</v>
      </c>
      <c r="I278" s="2" t="s">
        <v>1053</v>
      </c>
      <c r="J278" s="2" t="s">
        <v>1808</v>
      </c>
      <c r="K278" s="2" t="s">
        <v>1809</v>
      </c>
      <c r="L278" s="2" t="s">
        <v>1742</v>
      </c>
      <c r="M278" s="2" t="s">
        <v>1742</v>
      </c>
      <c r="N278" s="2" t="s">
        <v>2326</v>
      </c>
      <c r="O278" s="2" t="s">
        <v>35</v>
      </c>
      <c r="P278" s="2" t="s">
        <v>1605</v>
      </c>
      <c r="Q278" s="2"/>
      <c r="R278" s="2" t="s">
        <v>2327</v>
      </c>
      <c r="S278" s="2"/>
      <c r="T278" s="2"/>
      <c r="U278" s="2" t="s">
        <v>2328</v>
      </c>
      <c r="V278" s="2"/>
    </row>
    <row r="279" customFormat="false" ht="220.85" hidden="false" customHeight="false" outlineLevel="0" collapsed="false">
      <c r="A279" s="2" t="s">
        <v>2329</v>
      </c>
      <c r="B279" s="2" t="s">
        <v>2330</v>
      </c>
      <c r="C279" s="12" t="s">
        <v>1578</v>
      </c>
      <c r="D279" s="2" t="s">
        <v>2331</v>
      </c>
      <c r="E279" s="2" t="s">
        <v>267</v>
      </c>
      <c r="F279" s="4" t="s">
        <v>27</v>
      </c>
      <c r="G279" s="2" t="s">
        <v>77</v>
      </c>
      <c r="H279" s="2" t="s">
        <v>2332</v>
      </c>
      <c r="I279" s="2" t="s">
        <v>492</v>
      </c>
      <c r="J279" s="2" t="s">
        <v>2333</v>
      </c>
      <c r="K279" s="2" t="s">
        <v>1740</v>
      </c>
      <c r="L279" s="2" t="s">
        <v>2334</v>
      </c>
      <c r="M279" s="2" t="s">
        <v>2335</v>
      </c>
      <c r="N279" s="2" t="s">
        <v>2336</v>
      </c>
      <c r="O279" s="2" t="s">
        <v>35</v>
      </c>
      <c r="P279" s="2" t="s">
        <v>2337</v>
      </c>
      <c r="Q279" s="2" t="s">
        <v>2338</v>
      </c>
      <c r="R279" s="2" t="s">
        <v>2339</v>
      </c>
      <c r="S279" s="2" t="s">
        <v>2340</v>
      </c>
      <c r="T279" s="2" t="s">
        <v>2341</v>
      </c>
      <c r="U279" s="2" t="s">
        <v>2342</v>
      </c>
      <c r="V279" s="2"/>
    </row>
    <row r="280" customFormat="false" ht="43.25" hidden="false" customHeight="false" outlineLevel="0" collapsed="false">
      <c r="A280" s="2" t="s">
        <v>2343</v>
      </c>
      <c r="B280" s="2" t="s">
        <v>2344</v>
      </c>
      <c r="C280" s="12" t="s">
        <v>1578</v>
      </c>
      <c r="D280" s="2" t="s">
        <v>1699</v>
      </c>
      <c r="E280" s="2" t="s">
        <v>296</v>
      </c>
      <c r="F280" s="2" t="s">
        <v>77</v>
      </c>
      <c r="G280" s="2" t="s">
        <v>77</v>
      </c>
      <c r="H280" s="2" t="s">
        <v>656</v>
      </c>
      <c r="I280" s="2" t="s">
        <v>96</v>
      </c>
      <c r="J280" s="2" t="s">
        <v>96</v>
      </c>
      <c r="K280" s="2" t="s">
        <v>1700</v>
      </c>
      <c r="L280" s="2" t="s">
        <v>553</v>
      </c>
      <c r="M280" s="2" t="s">
        <v>114</v>
      </c>
      <c r="N280" s="2" t="s">
        <v>1677</v>
      </c>
      <c r="O280" s="2" t="s">
        <v>96</v>
      </c>
      <c r="P280" s="2" t="s">
        <v>258</v>
      </c>
      <c r="Q280" s="2" t="s">
        <v>2345</v>
      </c>
      <c r="R280" s="2"/>
      <c r="S280" s="2" t="s">
        <v>1702</v>
      </c>
      <c r="T280" s="2" t="s">
        <v>1703</v>
      </c>
      <c r="U280" s="2"/>
      <c r="V280" s="2"/>
    </row>
    <row r="281" customFormat="false" ht="22.35" hidden="false" customHeight="false" outlineLevel="0" collapsed="false">
      <c r="A281" s="2" t="s">
        <v>2346</v>
      </c>
      <c r="B281" s="2" t="s">
        <v>2347</v>
      </c>
      <c r="C281" s="12" t="s">
        <v>1578</v>
      </c>
      <c r="D281" s="2" t="s">
        <v>2348</v>
      </c>
      <c r="E281" s="2" t="s">
        <v>210</v>
      </c>
      <c r="F281" s="4" t="s">
        <v>27</v>
      </c>
      <c r="G281" s="2" t="s">
        <v>77</v>
      </c>
      <c r="H281" s="2" t="s">
        <v>2349</v>
      </c>
      <c r="I281" s="2" t="s">
        <v>96</v>
      </c>
      <c r="J281" s="2" t="s">
        <v>96</v>
      </c>
      <c r="K281" s="2" t="s">
        <v>1581</v>
      </c>
      <c r="L281" s="2" t="s">
        <v>553</v>
      </c>
      <c r="M281" s="2" t="s">
        <v>114</v>
      </c>
      <c r="N281" s="2" t="s">
        <v>2192</v>
      </c>
      <c r="O281" s="2" t="s">
        <v>96</v>
      </c>
      <c r="P281" s="2" t="s">
        <v>258</v>
      </c>
      <c r="Q281" s="2" t="s">
        <v>2350</v>
      </c>
      <c r="R281" s="2" t="s">
        <v>2351</v>
      </c>
      <c r="S281" s="2"/>
      <c r="T281" s="2" t="s">
        <v>2195</v>
      </c>
      <c r="U281" s="2"/>
      <c r="V281" s="2"/>
    </row>
    <row r="282" customFormat="false" ht="43.25" hidden="false" customHeight="false" outlineLevel="0" collapsed="false">
      <c r="A282" s="2" t="s">
        <v>2352</v>
      </c>
      <c r="B282" s="2" t="s">
        <v>2353</v>
      </c>
      <c r="C282" s="12" t="s">
        <v>1578</v>
      </c>
      <c r="D282" s="2" t="s">
        <v>1725</v>
      </c>
      <c r="E282" s="2" t="s">
        <v>1425</v>
      </c>
      <c r="F282" s="4" t="s">
        <v>27</v>
      </c>
      <c r="G282" s="2" t="s">
        <v>77</v>
      </c>
      <c r="H282" s="2" t="s">
        <v>1707</v>
      </c>
      <c r="I282" s="2" t="s">
        <v>96</v>
      </c>
      <c r="J282" s="2" t="s">
        <v>96</v>
      </c>
      <c r="K282" s="2" t="s">
        <v>1581</v>
      </c>
      <c r="L282" s="2" t="s">
        <v>553</v>
      </c>
      <c r="M282" s="2" t="s">
        <v>114</v>
      </c>
      <c r="N282" s="2" t="s">
        <v>381</v>
      </c>
      <c r="O282" s="2" t="s">
        <v>96</v>
      </c>
      <c r="P282" s="2" t="s">
        <v>258</v>
      </c>
      <c r="Q282" s="2" t="s">
        <v>1825</v>
      </c>
      <c r="R282" s="2" t="s">
        <v>1727</v>
      </c>
      <c r="S282" s="2" t="s">
        <v>1728</v>
      </c>
      <c r="T282" s="2" t="s">
        <v>1729</v>
      </c>
      <c r="U282" s="2"/>
      <c r="V282" s="2"/>
    </row>
    <row r="283" customFormat="false" ht="43.25" hidden="false" customHeight="false" outlineLevel="0" collapsed="false">
      <c r="A283" s="2" t="s">
        <v>2354</v>
      </c>
      <c r="B283" s="2" t="s">
        <v>2355</v>
      </c>
      <c r="C283" s="12" t="s">
        <v>1578</v>
      </c>
      <c r="D283" s="2" t="s">
        <v>2129</v>
      </c>
      <c r="E283" s="2" t="s">
        <v>76</v>
      </c>
      <c r="F283" s="2" t="s">
        <v>77</v>
      </c>
      <c r="G283" s="2" t="s">
        <v>77</v>
      </c>
      <c r="H283" s="2" t="s">
        <v>402</v>
      </c>
      <c r="I283" s="2" t="s">
        <v>96</v>
      </c>
      <c r="J283" s="2" t="s">
        <v>96</v>
      </c>
      <c r="K283" s="2" t="s">
        <v>1996</v>
      </c>
      <c r="L283" s="2" t="s">
        <v>553</v>
      </c>
      <c r="M283" s="2" t="s">
        <v>114</v>
      </c>
      <c r="N283" s="2" t="s">
        <v>381</v>
      </c>
      <c r="O283" s="2" t="s">
        <v>96</v>
      </c>
      <c r="P283" s="2" t="s">
        <v>258</v>
      </c>
      <c r="Q283" s="2" t="s">
        <v>2130</v>
      </c>
      <c r="R283" s="2" t="s">
        <v>2131</v>
      </c>
      <c r="S283" s="2"/>
      <c r="T283" s="2" t="s">
        <v>2132</v>
      </c>
      <c r="U283" s="2"/>
      <c r="V283" s="2"/>
    </row>
    <row r="284" customFormat="false" ht="74.6" hidden="false" customHeight="false" outlineLevel="0" collapsed="false">
      <c r="A284" s="2" t="s">
        <v>2356</v>
      </c>
      <c r="B284" s="2" t="s">
        <v>2357</v>
      </c>
      <c r="C284" s="12" t="s">
        <v>1578</v>
      </c>
      <c r="D284" s="2" t="s">
        <v>1706</v>
      </c>
      <c r="E284" s="2" t="s">
        <v>1425</v>
      </c>
      <c r="F284" s="4" t="s">
        <v>27</v>
      </c>
      <c r="G284" s="2" t="s">
        <v>77</v>
      </c>
      <c r="H284" s="2" t="s">
        <v>1707</v>
      </c>
      <c r="I284" s="2" t="s">
        <v>96</v>
      </c>
      <c r="J284" s="2" t="s">
        <v>96</v>
      </c>
      <c r="K284" s="2" t="s">
        <v>1581</v>
      </c>
      <c r="L284" s="2" t="s">
        <v>553</v>
      </c>
      <c r="M284" s="2" t="s">
        <v>114</v>
      </c>
      <c r="N284" s="2" t="s">
        <v>381</v>
      </c>
      <c r="O284" s="2" t="s">
        <v>96</v>
      </c>
      <c r="P284" s="2" t="s">
        <v>258</v>
      </c>
      <c r="Q284" s="2" t="s">
        <v>1895</v>
      </c>
      <c r="R284" s="2" t="s">
        <v>1709</v>
      </c>
      <c r="S284" s="2" t="s">
        <v>1710</v>
      </c>
      <c r="T284" s="2" t="s">
        <v>1711</v>
      </c>
      <c r="U284" s="2"/>
      <c r="V284" s="2"/>
    </row>
    <row r="285" customFormat="false" ht="53.7" hidden="false" customHeight="false" outlineLevel="0" collapsed="false">
      <c r="A285" s="2" t="s">
        <v>2358</v>
      </c>
      <c r="B285" s="2" t="s">
        <v>2359</v>
      </c>
      <c r="C285" s="12" t="s">
        <v>1578</v>
      </c>
      <c r="D285" s="2" t="s">
        <v>2360</v>
      </c>
      <c r="E285" s="2" t="s">
        <v>76</v>
      </c>
      <c r="F285" s="2" t="s">
        <v>77</v>
      </c>
      <c r="G285" s="2" t="s">
        <v>77</v>
      </c>
      <c r="H285" s="2" t="s">
        <v>402</v>
      </c>
      <c r="I285" s="2" t="s">
        <v>96</v>
      </c>
      <c r="J285" s="2" t="s">
        <v>96</v>
      </c>
      <c r="K285" s="2" t="s">
        <v>1996</v>
      </c>
      <c r="L285" s="2" t="s">
        <v>553</v>
      </c>
      <c r="M285" s="2" t="s">
        <v>114</v>
      </c>
      <c r="N285" s="2" t="s">
        <v>381</v>
      </c>
      <c r="O285" s="2" t="s">
        <v>96</v>
      </c>
      <c r="P285" s="2" t="s">
        <v>258</v>
      </c>
      <c r="Q285" s="2" t="s">
        <v>2361</v>
      </c>
      <c r="R285" s="2"/>
      <c r="S285" s="2" t="s">
        <v>2362</v>
      </c>
      <c r="T285" s="2" t="s">
        <v>262</v>
      </c>
      <c r="U285" s="2"/>
      <c r="V285" s="2"/>
    </row>
    <row r="286" customFormat="false" ht="116.4" hidden="false" customHeight="false" outlineLevel="0" collapsed="false">
      <c r="A286" s="2" t="s">
        <v>2363</v>
      </c>
      <c r="B286" s="2" t="s">
        <v>2364</v>
      </c>
      <c r="C286" s="12" t="s">
        <v>1578</v>
      </c>
      <c r="D286" s="2" t="s">
        <v>2365</v>
      </c>
      <c r="E286" s="2" t="s">
        <v>1807</v>
      </c>
      <c r="F286" s="2" t="s">
        <v>77</v>
      </c>
      <c r="G286" s="2" t="s">
        <v>77</v>
      </c>
      <c r="H286" s="2" t="s">
        <v>1807</v>
      </c>
      <c r="I286" s="2" t="s">
        <v>1053</v>
      </c>
      <c r="J286" s="2" t="s">
        <v>1808</v>
      </c>
      <c r="K286" s="2" t="s">
        <v>1809</v>
      </c>
      <c r="L286" s="2" t="s">
        <v>1742</v>
      </c>
      <c r="M286" s="2" t="s">
        <v>1742</v>
      </c>
      <c r="N286" s="2" t="s">
        <v>2366</v>
      </c>
      <c r="O286" s="2" t="s">
        <v>35</v>
      </c>
      <c r="P286" s="2" t="s">
        <v>1605</v>
      </c>
      <c r="Q286" s="2"/>
      <c r="R286" s="2" t="s">
        <v>2367</v>
      </c>
      <c r="S286" s="2"/>
      <c r="T286" s="2" t="s">
        <v>2368</v>
      </c>
      <c r="U286" s="2"/>
      <c r="V286" s="2"/>
    </row>
    <row r="287" customFormat="false" ht="43.25" hidden="false" customHeight="false" outlineLevel="0" collapsed="false">
      <c r="A287" s="2" t="s">
        <v>2369</v>
      </c>
      <c r="B287" s="2" t="s">
        <v>2370</v>
      </c>
      <c r="C287" s="12" t="s">
        <v>1578</v>
      </c>
      <c r="D287" s="2" t="s">
        <v>2371</v>
      </c>
      <c r="E287" s="2" t="s">
        <v>1807</v>
      </c>
      <c r="F287" s="2" t="s">
        <v>77</v>
      </c>
      <c r="G287" s="2" t="s">
        <v>77</v>
      </c>
      <c r="H287" s="2" t="s">
        <v>1807</v>
      </c>
      <c r="I287" s="2" t="s">
        <v>1053</v>
      </c>
      <c r="J287" s="2" t="s">
        <v>1808</v>
      </c>
      <c r="K287" s="2" t="s">
        <v>1809</v>
      </c>
      <c r="L287" s="2" t="s">
        <v>1742</v>
      </c>
      <c r="M287" s="2" t="s">
        <v>1742</v>
      </c>
      <c r="N287" s="2" t="s">
        <v>2372</v>
      </c>
      <c r="O287" s="2" t="s">
        <v>35</v>
      </c>
      <c r="P287" s="2" t="s">
        <v>1605</v>
      </c>
      <c r="Q287" s="2"/>
      <c r="R287" s="2" t="s">
        <v>2373</v>
      </c>
      <c r="S287" s="2"/>
      <c r="T287" s="2"/>
      <c r="U287" s="2" t="s">
        <v>2374</v>
      </c>
      <c r="V287" s="2"/>
    </row>
    <row r="288" customFormat="false" ht="85.05" hidden="false" customHeight="false" outlineLevel="0" collapsed="false">
      <c r="A288" s="2" t="s">
        <v>2375</v>
      </c>
      <c r="B288" s="2" t="s">
        <v>2376</v>
      </c>
      <c r="C288" s="12" t="s">
        <v>1578</v>
      </c>
      <c r="D288" s="2" t="s">
        <v>2377</v>
      </c>
      <c r="E288" s="2" t="s">
        <v>529</v>
      </c>
      <c r="F288" s="2" t="s">
        <v>77</v>
      </c>
      <c r="G288" s="2" t="s">
        <v>77</v>
      </c>
      <c r="H288" s="2" t="s">
        <v>1829</v>
      </c>
      <c r="I288" s="2" t="s">
        <v>96</v>
      </c>
      <c r="J288" s="2" t="s">
        <v>96</v>
      </c>
      <c r="K288" s="2" t="s">
        <v>2378</v>
      </c>
      <c r="L288" s="2" t="s">
        <v>553</v>
      </c>
      <c r="M288" s="2" t="s">
        <v>114</v>
      </c>
      <c r="N288" s="2" t="s">
        <v>1661</v>
      </c>
      <c r="O288" s="2" t="s">
        <v>96</v>
      </c>
      <c r="P288" s="2" t="s">
        <v>258</v>
      </c>
      <c r="Q288" s="2" t="s">
        <v>2379</v>
      </c>
      <c r="R288" s="2" t="s">
        <v>2380</v>
      </c>
      <c r="S288" s="2" t="s">
        <v>2381</v>
      </c>
      <c r="T288" s="2" t="s">
        <v>584</v>
      </c>
      <c r="U288" s="2"/>
      <c r="V288" s="2"/>
    </row>
    <row r="289" customFormat="false" ht="32.8" hidden="false" customHeight="false" outlineLevel="0" collapsed="false">
      <c r="A289" s="2" t="s">
        <v>2382</v>
      </c>
      <c r="B289" s="2" t="s">
        <v>2383</v>
      </c>
      <c r="C289" s="12" t="s">
        <v>1578</v>
      </c>
      <c r="D289" s="2" t="s">
        <v>2384</v>
      </c>
      <c r="E289" s="2" t="s">
        <v>1051</v>
      </c>
      <c r="F289" s="2" t="s">
        <v>77</v>
      </c>
      <c r="G289" s="2" t="s">
        <v>77</v>
      </c>
      <c r="H289" s="2" t="s">
        <v>402</v>
      </c>
      <c r="I289" s="2" t="s">
        <v>96</v>
      </c>
      <c r="J289" s="2" t="s">
        <v>96</v>
      </c>
      <c r="K289" s="2" t="s">
        <v>81</v>
      </c>
      <c r="L289" s="2" t="s">
        <v>553</v>
      </c>
      <c r="M289" s="2" t="s">
        <v>114</v>
      </c>
      <c r="N289" s="2" t="s">
        <v>381</v>
      </c>
      <c r="O289" s="2" t="s">
        <v>96</v>
      </c>
      <c r="P289" s="2" t="s">
        <v>1053</v>
      </c>
      <c r="Q289" s="2" t="s">
        <v>2385</v>
      </c>
      <c r="R289" s="2"/>
      <c r="S289" s="2"/>
      <c r="T289" s="2" t="s">
        <v>2386</v>
      </c>
      <c r="U289" s="2"/>
      <c r="V289" s="2"/>
    </row>
    <row r="290" customFormat="false" ht="74.6" hidden="false" customHeight="false" outlineLevel="0" collapsed="false">
      <c r="A290" s="2" t="s">
        <v>2387</v>
      </c>
      <c r="B290" s="2" t="s">
        <v>2388</v>
      </c>
      <c r="C290" s="12" t="s">
        <v>1578</v>
      </c>
      <c r="D290" s="2" t="s">
        <v>1706</v>
      </c>
      <c r="E290" s="2" t="s">
        <v>1425</v>
      </c>
      <c r="F290" s="4" t="s">
        <v>27</v>
      </c>
      <c r="G290" s="2" t="s">
        <v>77</v>
      </c>
      <c r="H290" s="2" t="s">
        <v>1707</v>
      </c>
      <c r="I290" s="2" t="s">
        <v>96</v>
      </c>
      <c r="J290" s="2" t="s">
        <v>96</v>
      </c>
      <c r="K290" s="2" t="s">
        <v>1581</v>
      </c>
      <c r="L290" s="2" t="s">
        <v>553</v>
      </c>
      <c r="M290" s="2" t="s">
        <v>114</v>
      </c>
      <c r="N290" s="2" t="s">
        <v>381</v>
      </c>
      <c r="O290" s="2" t="s">
        <v>96</v>
      </c>
      <c r="P290" s="2" t="s">
        <v>258</v>
      </c>
      <c r="Q290" s="2" t="s">
        <v>2389</v>
      </c>
      <c r="R290" s="2" t="s">
        <v>1709</v>
      </c>
      <c r="S290" s="2" t="s">
        <v>1710</v>
      </c>
      <c r="T290" s="2" t="s">
        <v>1711</v>
      </c>
      <c r="U290" s="2"/>
      <c r="V290" s="2"/>
    </row>
    <row r="291" customFormat="false" ht="74.6" hidden="false" customHeight="false" outlineLevel="0" collapsed="false">
      <c r="A291" s="2" t="s">
        <v>2390</v>
      </c>
      <c r="B291" s="2" t="s">
        <v>2391</v>
      </c>
      <c r="C291" s="12" t="s">
        <v>1578</v>
      </c>
      <c r="D291" s="2" t="s">
        <v>1706</v>
      </c>
      <c r="E291" s="2" t="s">
        <v>1425</v>
      </c>
      <c r="F291" s="4" t="s">
        <v>27</v>
      </c>
      <c r="G291" s="2" t="s">
        <v>77</v>
      </c>
      <c r="H291" s="2" t="s">
        <v>1707</v>
      </c>
      <c r="I291" s="2" t="s">
        <v>96</v>
      </c>
      <c r="J291" s="2" t="s">
        <v>96</v>
      </c>
      <c r="K291" s="2" t="s">
        <v>1581</v>
      </c>
      <c r="L291" s="2" t="s">
        <v>553</v>
      </c>
      <c r="M291" s="2" t="s">
        <v>114</v>
      </c>
      <c r="N291" s="2" t="s">
        <v>381</v>
      </c>
      <c r="O291" s="2" t="s">
        <v>96</v>
      </c>
      <c r="P291" s="2" t="s">
        <v>258</v>
      </c>
      <c r="Q291" s="2" t="s">
        <v>1895</v>
      </c>
      <c r="R291" s="2" t="s">
        <v>1709</v>
      </c>
      <c r="S291" s="2" t="s">
        <v>1710</v>
      </c>
      <c r="T291" s="2" t="s">
        <v>1711</v>
      </c>
      <c r="U291" s="2"/>
      <c r="V291" s="2"/>
    </row>
    <row r="292" customFormat="false" ht="22.35" hidden="false" customHeight="false" outlineLevel="0" collapsed="false">
      <c r="A292" s="2" t="s">
        <v>2392</v>
      </c>
      <c r="B292" s="2" t="s">
        <v>2393</v>
      </c>
      <c r="C292" s="12" t="s">
        <v>1578</v>
      </c>
      <c r="D292" s="2" t="s">
        <v>2394</v>
      </c>
      <c r="E292" s="2" t="s">
        <v>76</v>
      </c>
      <c r="F292" s="2" t="s">
        <v>77</v>
      </c>
      <c r="G292" s="2" t="s">
        <v>77</v>
      </c>
      <c r="H292" s="2" t="s">
        <v>402</v>
      </c>
      <c r="I292" s="2" t="s">
        <v>96</v>
      </c>
      <c r="J292" s="2" t="s">
        <v>96</v>
      </c>
      <c r="K292" s="2" t="s">
        <v>81</v>
      </c>
      <c r="L292" s="2" t="s">
        <v>553</v>
      </c>
      <c r="M292" s="2" t="s">
        <v>114</v>
      </c>
      <c r="N292" s="2" t="s">
        <v>381</v>
      </c>
      <c r="O292" s="2" t="s">
        <v>96</v>
      </c>
      <c r="P292" s="2" t="s">
        <v>1053</v>
      </c>
      <c r="Q292" s="2" t="s">
        <v>2395</v>
      </c>
      <c r="R292" s="2" t="s">
        <v>2396</v>
      </c>
      <c r="S292" s="2"/>
      <c r="T292" s="2" t="s">
        <v>2397</v>
      </c>
      <c r="U292" s="2"/>
      <c r="V292" s="2"/>
    </row>
    <row r="293" customFormat="false" ht="53.7" hidden="false" customHeight="false" outlineLevel="0" collapsed="false">
      <c r="A293" s="2" t="s">
        <v>2398</v>
      </c>
      <c r="B293" s="2" t="s">
        <v>2399</v>
      </c>
      <c r="C293" s="12" t="s">
        <v>1578</v>
      </c>
      <c r="D293" s="2" t="s">
        <v>2400</v>
      </c>
      <c r="E293" s="2" t="s">
        <v>296</v>
      </c>
      <c r="F293" s="2" t="s">
        <v>77</v>
      </c>
      <c r="G293" s="2" t="s">
        <v>77</v>
      </c>
      <c r="H293" s="2" t="s">
        <v>2253</v>
      </c>
      <c r="I293" s="2" t="s">
        <v>492</v>
      </c>
      <c r="J293" s="2" t="s">
        <v>2401</v>
      </c>
      <c r="K293" s="2" t="s">
        <v>2402</v>
      </c>
      <c r="L293" s="2" t="s">
        <v>553</v>
      </c>
      <c r="M293" s="2" t="s">
        <v>114</v>
      </c>
      <c r="N293" s="2" t="s">
        <v>1677</v>
      </c>
      <c r="O293" s="2" t="s">
        <v>96</v>
      </c>
      <c r="P293" s="2" t="s">
        <v>258</v>
      </c>
      <c r="Q293" s="2" t="s">
        <v>2403</v>
      </c>
      <c r="R293" s="2" t="s">
        <v>2404</v>
      </c>
      <c r="S293" s="2" t="s">
        <v>2405</v>
      </c>
      <c r="T293" s="2" t="s">
        <v>2406</v>
      </c>
      <c r="U293" s="2"/>
      <c r="V293" s="2"/>
    </row>
    <row r="294" customFormat="false" ht="22.35" hidden="false" customHeight="false" outlineLevel="0" collapsed="false">
      <c r="A294" s="2" t="s">
        <v>2407</v>
      </c>
      <c r="B294" s="2" t="s">
        <v>2408</v>
      </c>
      <c r="C294" s="12" t="s">
        <v>1578</v>
      </c>
      <c r="D294" s="2" t="s">
        <v>2409</v>
      </c>
      <c r="E294" s="2" t="s">
        <v>1051</v>
      </c>
      <c r="F294" s="2" t="s">
        <v>77</v>
      </c>
      <c r="G294" s="2" t="s">
        <v>77</v>
      </c>
      <c r="H294" s="2" t="s">
        <v>402</v>
      </c>
      <c r="I294" s="2" t="s">
        <v>96</v>
      </c>
      <c r="J294" s="2" t="s">
        <v>96</v>
      </c>
      <c r="K294" s="2" t="s">
        <v>81</v>
      </c>
      <c r="L294" s="2" t="s">
        <v>553</v>
      </c>
      <c r="M294" s="2" t="s">
        <v>114</v>
      </c>
      <c r="N294" s="2" t="s">
        <v>381</v>
      </c>
      <c r="O294" s="2" t="s">
        <v>96</v>
      </c>
      <c r="P294" s="2" t="s">
        <v>1053</v>
      </c>
      <c r="Q294" s="2" t="s">
        <v>2410</v>
      </c>
      <c r="R294" s="2"/>
      <c r="S294" s="2"/>
      <c r="T294" s="2" t="s">
        <v>1664</v>
      </c>
      <c r="U294" s="2"/>
      <c r="V294" s="2"/>
    </row>
    <row r="295" customFormat="false" ht="74.6" hidden="false" customHeight="false" outlineLevel="0" collapsed="false">
      <c r="A295" s="2" t="s">
        <v>2411</v>
      </c>
      <c r="B295" s="2" t="s">
        <v>2412</v>
      </c>
      <c r="C295" s="12" t="s">
        <v>1578</v>
      </c>
      <c r="D295" s="2" t="s">
        <v>2413</v>
      </c>
      <c r="E295" s="2" t="s">
        <v>296</v>
      </c>
      <c r="F295" s="2" t="s">
        <v>77</v>
      </c>
      <c r="G295" s="2" t="s">
        <v>77</v>
      </c>
      <c r="H295" s="2" t="s">
        <v>2414</v>
      </c>
      <c r="I295" s="2" t="s">
        <v>348</v>
      </c>
      <c r="J295" s="2" t="s">
        <v>2415</v>
      </c>
      <c r="K295" s="2" t="s">
        <v>1581</v>
      </c>
      <c r="L295" s="2" t="s">
        <v>553</v>
      </c>
      <c r="M295" s="2" t="s">
        <v>114</v>
      </c>
      <c r="N295" s="2" t="s">
        <v>1677</v>
      </c>
      <c r="O295" s="2" t="s">
        <v>96</v>
      </c>
      <c r="P295" s="2" t="s">
        <v>258</v>
      </c>
      <c r="Q295" s="2" t="s">
        <v>2416</v>
      </c>
      <c r="R295" s="2" t="s">
        <v>2417</v>
      </c>
      <c r="S295" s="2" t="s">
        <v>2418</v>
      </c>
      <c r="T295" s="2" t="s">
        <v>2419</v>
      </c>
      <c r="U295" s="2"/>
      <c r="V295" s="2"/>
    </row>
    <row r="296" customFormat="false" ht="43.25" hidden="false" customHeight="false" outlineLevel="0" collapsed="false">
      <c r="A296" s="2" t="s">
        <v>2420</v>
      </c>
      <c r="B296" s="2" t="s">
        <v>2421</v>
      </c>
      <c r="C296" s="12" t="s">
        <v>1578</v>
      </c>
      <c r="D296" s="2" t="s">
        <v>2053</v>
      </c>
      <c r="E296" s="2" t="s">
        <v>76</v>
      </c>
      <c r="F296" s="4" t="s">
        <v>27</v>
      </c>
      <c r="G296" s="2" t="s">
        <v>77</v>
      </c>
      <c r="H296" s="2" t="s">
        <v>751</v>
      </c>
      <c r="I296" s="2" t="s">
        <v>96</v>
      </c>
      <c r="J296" s="2" t="s">
        <v>96</v>
      </c>
      <c r="K296" s="2" t="s">
        <v>1581</v>
      </c>
      <c r="L296" s="2" t="s">
        <v>553</v>
      </c>
      <c r="M296" s="2" t="s">
        <v>114</v>
      </c>
      <c r="N296" s="2" t="s">
        <v>2422</v>
      </c>
      <c r="O296" s="2" t="s">
        <v>96</v>
      </c>
      <c r="P296" s="2" t="s">
        <v>258</v>
      </c>
      <c r="Q296" s="2" t="s">
        <v>2423</v>
      </c>
      <c r="R296" s="2" t="s">
        <v>2424</v>
      </c>
      <c r="S296" s="2" t="s">
        <v>2425</v>
      </c>
      <c r="T296" s="2" t="s">
        <v>1973</v>
      </c>
      <c r="U296" s="2"/>
      <c r="V296" s="2"/>
    </row>
    <row r="297" customFormat="false" ht="137.3" hidden="false" customHeight="false" outlineLevel="0" collapsed="false">
      <c r="A297" s="2" t="s">
        <v>2426</v>
      </c>
      <c r="B297" s="2" t="s">
        <v>2427</v>
      </c>
      <c r="C297" s="12" t="s">
        <v>1578</v>
      </c>
      <c r="D297" s="2" t="s">
        <v>2428</v>
      </c>
      <c r="E297" s="2" t="s">
        <v>296</v>
      </c>
      <c r="F297" s="2" t="s">
        <v>77</v>
      </c>
      <c r="G297" s="2" t="s">
        <v>77</v>
      </c>
      <c r="H297" s="2" t="s">
        <v>656</v>
      </c>
      <c r="I297" s="2" t="s">
        <v>348</v>
      </c>
      <c r="J297" s="2" t="s">
        <v>2429</v>
      </c>
      <c r="K297" s="2" t="s">
        <v>2430</v>
      </c>
      <c r="L297" s="2" t="s">
        <v>553</v>
      </c>
      <c r="M297" s="2" t="s">
        <v>114</v>
      </c>
      <c r="N297" s="2" t="s">
        <v>1661</v>
      </c>
      <c r="O297" s="2" t="s">
        <v>96</v>
      </c>
      <c r="P297" s="2" t="s">
        <v>258</v>
      </c>
      <c r="Q297" s="2" t="s">
        <v>2431</v>
      </c>
      <c r="R297" s="2" t="s">
        <v>2432</v>
      </c>
      <c r="S297" s="2" t="s">
        <v>2433</v>
      </c>
      <c r="T297" s="2" t="s">
        <v>2434</v>
      </c>
      <c r="U297" s="2"/>
      <c r="V297" s="2"/>
    </row>
    <row r="298" customFormat="false" ht="74.6" hidden="false" customHeight="false" outlineLevel="0" collapsed="false">
      <c r="A298" s="2" t="s">
        <v>2435</v>
      </c>
      <c r="B298" s="2" t="s">
        <v>2436</v>
      </c>
      <c r="C298" s="12" t="s">
        <v>1578</v>
      </c>
      <c r="D298" s="2" t="s">
        <v>2437</v>
      </c>
      <c r="E298" s="2" t="s">
        <v>76</v>
      </c>
      <c r="F298" s="2" t="s">
        <v>77</v>
      </c>
      <c r="G298" s="2" t="s">
        <v>77</v>
      </c>
      <c r="H298" s="2" t="s">
        <v>402</v>
      </c>
      <c r="I298" s="2" t="s">
        <v>96</v>
      </c>
      <c r="J298" s="2" t="s">
        <v>96</v>
      </c>
      <c r="K298" s="2" t="s">
        <v>1740</v>
      </c>
      <c r="L298" s="2" t="s">
        <v>2438</v>
      </c>
      <c r="M298" s="2" t="s">
        <v>2335</v>
      </c>
      <c r="N298" s="2" t="s">
        <v>2439</v>
      </c>
      <c r="O298" s="2" t="s">
        <v>35</v>
      </c>
      <c r="P298" s="2" t="s">
        <v>2440</v>
      </c>
      <c r="Q298" s="2" t="s">
        <v>2441</v>
      </c>
      <c r="R298" s="2" t="s">
        <v>2442</v>
      </c>
      <c r="S298" s="2" t="s">
        <v>2443</v>
      </c>
      <c r="T298" s="2" t="s">
        <v>2444</v>
      </c>
      <c r="U298" s="2" t="s">
        <v>2445</v>
      </c>
      <c r="V298" s="7" t="s">
        <v>2446</v>
      </c>
    </row>
    <row r="299" customFormat="false" ht="43.25" hidden="false" customHeight="false" outlineLevel="0" collapsed="false">
      <c r="A299" s="2" t="s">
        <v>2447</v>
      </c>
      <c r="B299" s="2" t="s">
        <v>2448</v>
      </c>
      <c r="C299" s="12" t="s">
        <v>1578</v>
      </c>
      <c r="D299" s="2" t="s">
        <v>1699</v>
      </c>
      <c r="E299" s="2" t="s">
        <v>296</v>
      </c>
      <c r="F299" s="2" t="s">
        <v>77</v>
      </c>
      <c r="G299" s="2" t="s">
        <v>77</v>
      </c>
      <c r="H299" s="2" t="s">
        <v>656</v>
      </c>
      <c r="I299" s="2" t="s">
        <v>96</v>
      </c>
      <c r="J299" s="2" t="s">
        <v>96</v>
      </c>
      <c r="K299" s="2" t="s">
        <v>1700</v>
      </c>
      <c r="L299" s="2" t="s">
        <v>553</v>
      </c>
      <c r="M299" s="2" t="s">
        <v>114</v>
      </c>
      <c r="N299" s="2" t="s">
        <v>1677</v>
      </c>
      <c r="O299" s="2" t="s">
        <v>96</v>
      </c>
      <c r="P299" s="2" t="s">
        <v>258</v>
      </c>
      <c r="Q299" s="2" t="s">
        <v>2449</v>
      </c>
      <c r="R299" s="2"/>
      <c r="S299" s="2" t="s">
        <v>1702</v>
      </c>
      <c r="T299" s="2" t="s">
        <v>262</v>
      </c>
      <c r="U299" s="2"/>
      <c r="V299" s="2"/>
    </row>
    <row r="300" customFormat="false" ht="53.7" hidden="false" customHeight="false" outlineLevel="0" collapsed="false">
      <c r="A300" s="2" t="s">
        <v>2450</v>
      </c>
      <c r="B300" s="2" t="s">
        <v>2451</v>
      </c>
      <c r="C300" s="12" t="s">
        <v>1578</v>
      </c>
      <c r="D300" s="2" t="s">
        <v>2452</v>
      </c>
      <c r="E300" s="2" t="s">
        <v>1425</v>
      </c>
      <c r="F300" s="4" t="s">
        <v>27</v>
      </c>
      <c r="G300" s="2" t="s">
        <v>77</v>
      </c>
      <c r="H300" s="2" t="s">
        <v>1612</v>
      </c>
      <c r="I300" s="2" t="s">
        <v>96</v>
      </c>
      <c r="J300" s="2" t="s">
        <v>96</v>
      </c>
      <c r="K300" s="2" t="s">
        <v>1581</v>
      </c>
      <c r="L300" s="2" t="s">
        <v>553</v>
      </c>
      <c r="M300" s="2" t="s">
        <v>114</v>
      </c>
      <c r="N300" s="2" t="s">
        <v>381</v>
      </c>
      <c r="O300" s="2" t="s">
        <v>96</v>
      </c>
      <c r="P300" s="2" t="s">
        <v>258</v>
      </c>
      <c r="Q300" s="2" t="s">
        <v>2453</v>
      </c>
      <c r="R300" s="2" t="s">
        <v>2454</v>
      </c>
      <c r="S300" s="2" t="s">
        <v>2455</v>
      </c>
      <c r="T300" s="2" t="s">
        <v>1729</v>
      </c>
      <c r="U300" s="2"/>
      <c r="V300" s="2"/>
    </row>
    <row r="301" customFormat="false" ht="64.15" hidden="false" customHeight="false" outlineLevel="0" collapsed="false">
      <c r="A301" s="2" t="s">
        <v>2456</v>
      </c>
      <c r="B301" s="2" t="s">
        <v>2457</v>
      </c>
      <c r="C301" s="12" t="s">
        <v>1578</v>
      </c>
      <c r="D301" s="2" t="s">
        <v>2458</v>
      </c>
      <c r="E301" s="2" t="s">
        <v>210</v>
      </c>
      <c r="F301" s="4" t="s">
        <v>27</v>
      </c>
      <c r="G301" s="2" t="s">
        <v>77</v>
      </c>
      <c r="H301" s="2" t="s">
        <v>378</v>
      </c>
      <c r="I301" s="2" t="s">
        <v>96</v>
      </c>
      <c r="J301" s="2" t="s">
        <v>96</v>
      </c>
      <c r="K301" s="2" t="s">
        <v>1581</v>
      </c>
      <c r="L301" s="2" t="s">
        <v>553</v>
      </c>
      <c r="M301" s="2" t="s">
        <v>114</v>
      </c>
      <c r="N301" s="2" t="s">
        <v>1443</v>
      </c>
      <c r="O301" s="2" t="s">
        <v>96</v>
      </c>
      <c r="P301" s="2" t="s">
        <v>258</v>
      </c>
      <c r="Q301" s="2" t="s">
        <v>2459</v>
      </c>
      <c r="R301" s="2"/>
      <c r="S301" s="2" t="s">
        <v>2460</v>
      </c>
      <c r="T301" s="2"/>
      <c r="U301" s="2"/>
      <c r="V301" s="7" t="s">
        <v>2461</v>
      </c>
    </row>
    <row r="302" customFormat="false" ht="32.8" hidden="false" customHeight="false" outlineLevel="0" collapsed="false">
      <c r="A302" s="2" t="s">
        <v>2462</v>
      </c>
      <c r="B302" s="2" t="s">
        <v>2463</v>
      </c>
      <c r="C302" s="12" t="s">
        <v>1578</v>
      </c>
      <c r="D302" s="2" t="s">
        <v>1815</v>
      </c>
      <c r="E302" s="2" t="s">
        <v>296</v>
      </c>
      <c r="F302" s="2" t="s">
        <v>77</v>
      </c>
      <c r="G302" s="2" t="s">
        <v>77</v>
      </c>
      <c r="H302" s="2" t="s">
        <v>1816</v>
      </c>
      <c r="I302" s="2" t="s">
        <v>1053</v>
      </c>
      <c r="J302" s="2" t="s">
        <v>1817</v>
      </c>
      <c r="K302" s="2" t="s">
        <v>1818</v>
      </c>
      <c r="L302" s="2" t="s">
        <v>553</v>
      </c>
      <c r="M302" s="2" t="s">
        <v>114</v>
      </c>
      <c r="N302" s="2" t="s">
        <v>1661</v>
      </c>
      <c r="O302" s="2" t="s">
        <v>96</v>
      </c>
      <c r="P302" s="2" t="s">
        <v>1605</v>
      </c>
      <c r="Q302" s="2"/>
      <c r="R302" s="2"/>
      <c r="S302" s="2" t="s">
        <v>2464</v>
      </c>
      <c r="T302" s="2" t="s">
        <v>2465</v>
      </c>
      <c r="U302" s="2"/>
      <c r="V302" s="2"/>
    </row>
    <row r="303" customFormat="false" ht="189.55" hidden="false" customHeight="false" outlineLevel="0" collapsed="false">
      <c r="A303" s="2" t="s">
        <v>2466</v>
      </c>
      <c r="B303" s="2" t="s">
        <v>2467</v>
      </c>
      <c r="C303" s="12" t="s">
        <v>1578</v>
      </c>
      <c r="D303" s="2" t="s">
        <v>2468</v>
      </c>
      <c r="E303" s="2" t="s">
        <v>296</v>
      </c>
      <c r="F303" s="2" t="s">
        <v>77</v>
      </c>
      <c r="G303" s="2" t="s">
        <v>77</v>
      </c>
      <c r="H303" s="2" t="s">
        <v>2253</v>
      </c>
      <c r="I303" s="2" t="s">
        <v>492</v>
      </c>
      <c r="J303" s="2" t="s">
        <v>2469</v>
      </c>
      <c r="K303" s="2" t="s">
        <v>1740</v>
      </c>
      <c r="L303" s="2" t="s">
        <v>1774</v>
      </c>
      <c r="M303" s="2" t="s">
        <v>2470</v>
      </c>
      <c r="N303" s="2" t="s">
        <v>2471</v>
      </c>
      <c r="O303" s="2" t="s">
        <v>35</v>
      </c>
      <c r="P303" s="2" t="s">
        <v>2472</v>
      </c>
      <c r="Q303" s="2" t="s">
        <v>2473</v>
      </c>
      <c r="R303" s="2" t="s">
        <v>2474</v>
      </c>
      <c r="S303" s="2" t="s">
        <v>2475</v>
      </c>
      <c r="T303" s="2" t="s">
        <v>2476</v>
      </c>
      <c r="U303" s="2" t="s">
        <v>2477</v>
      </c>
      <c r="V303" s="2"/>
    </row>
    <row r="304" customFormat="false" ht="137.3" hidden="false" customHeight="false" outlineLevel="0" collapsed="false">
      <c r="A304" s="2" t="s">
        <v>2478</v>
      </c>
      <c r="B304" s="2" t="s">
        <v>2479</v>
      </c>
      <c r="C304" s="12" t="s">
        <v>1578</v>
      </c>
      <c r="D304" s="2" t="s">
        <v>2233</v>
      </c>
      <c r="E304" s="2" t="s">
        <v>296</v>
      </c>
      <c r="F304" s="2" t="s">
        <v>77</v>
      </c>
      <c r="G304" s="2" t="s">
        <v>77</v>
      </c>
      <c r="H304" s="2" t="s">
        <v>1612</v>
      </c>
      <c r="I304" s="2" t="s">
        <v>96</v>
      </c>
      <c r="J304" s="2" t="s">
        <v>2480</v>
      </c>
      <c r="K304" s="2" t="s">
        <v>2481</v>
      </c>
      <c r="L304" s="2" t="s">
        <v>1774</v>
      </c>
      <c r="M304" s="2" t="s">
        <v>2236</v>
      </c>
      <c r="N304" s="2" t="s">
        <v>2482</v>
      </c>
      <c r="O304" s="2" t="s">
        <v>35</v>
      </c>
      <c r="P304" s="2" t="s">
        <v>2483</v>
      </c>
      <c r="Q304" s="2" t="s">
        <v>2484</v>
      </c>
      <c r="R304" s="2" t="s">
        <v>2485</v>
      </c>
      <c r="S304" s="2" t="s">
        <v>2486</v>
      </c>
      <c r="T304" s="2" t="s">
        <v>2241</v>
      </c>
      <c r="U304" s="2" t="s">
        <v>2487</v>
      </c>
      <c r="V304" s="2"/>
    </row>
    <row r="305" customFormat="false" ht="74.6" hidden="false" customHeight="false" outlineLevel="0" collapsed="false">
      <c r="A305" s="2" t="s">
        <v>2488</v>
      </c>
      <c r="B305" s="2" t="s">
        <v>2489</v>
      </c>
      <c r="C305" s="12" t="s">
        <v>1578</v>
      </c>
      <c r="D305" s="2" t="s">
        <v>1706</v>
      </c>
      <c r="E305" s="2" t="s">
        <v>1425</v>
      </c>
      <c r="F305" s="4" t="s">
        <v>27</v>
      </c>
      <c r="G305" s="2" t="s">
        <v>77</v>
      </c>
      <c r="H305" s="2" t="s">
        <v>1707</v>
      </c>
      <c r="I305" s="2" t="s">
        <v>96</v>
      </c>
      <c r="J305" s="2" t="s">
        <v>96</v>
      </c>
      <c r="K305" s="2" t="s">
        <v>1581</v>
      </c>
      <c r="L305" s="2" t="s">
        <v>553</v>
      </c>
      <c r="M305" s="2" t="s">
        <v>114</v>
      </c>
      <c r="N305" s="2" t="s">
        <v>381</v>
      </c>
      <c r="O305" s="2" t="s">
        <v>96</v>
      </c>
      <c r="P305" s="2" t="s">
        <v>258</v>
      </c>
      <c r="Q305" s="2" t="s">
        <v>2490</v>
      </c>
      <c r="R305" s="2" t="s">
        <v>1709</v>
      </c>
      <c r="S305" s="2" t="s">
        <v>1710</v>
      </c>
      <c r="T305" s="2" t="s">
        <v>1711</v>
      </c>
      <c r="U305" s="2"/>
      <c r="V305" s="2"/>
    </row>
    <row r="306" customFormat="false" ht="74.6" hidden="false" customHeight="false" outlineLevel="0" collapsed="false">
      <c r="A306" s="2" t="s">
        <v>2491</v>
      </c>
      <c r="B306" s="2" t="s">
        <v>2492</v>
      </c>
      <c r="C306" s="12" t="s">
        <v>1578</v>
      </c>
      <c r="D306" s="2" t="s">
        <v>1706</v>
      </c>
      <c r="E306" s="2" t="s">
        <v>1425</v>
      </c>
      <c r="F306" s="4" t="s">
        <v>27</v>
      </c>
      <c r="G306" s="2" t="s">
        <v>77</v>
      </c>
      <c r="H306" s="2" t="s">
        <v>1707</v>
      </c>
      <c r="I306" s="2" t="s">
        <v>96</v>
      </c>
      <c r="J306" s="2" t="s">
        <v>96</v>
      </c>
      <c r="K306" s="2" t="s">
        <v>1581</v>
      </c>
      <c r="L306" s="2" t="s">
        <v>553</v>
      </c>
      <c r="M306" s="2" t="s">
        <v>114</v>
      </c>
      <c r="N306" s="2" t="s">
        <v>381</v>
      </c>
      <c r="O306" s="2" t="s">
        <v>96</v>
      </c>
      <c r="P306" s="2" t="s">
        <v>258</v>
      </c>
      <c r="Q306" s="2" t="s">
        <v>2493</v>
      </c>
      <c r="R306" s="2" t="s">
        <v>1709</v>
      </c>
      <c r="S306" s="2" t="s">
        <v>1710</v>
      </c>
      <c r="T306" s="2" t="s">
        <v>1711</v>
      </c>
      <c r="U306" s="2"/>
      <c r="V306" s="2"/>
    </row>
    <row r="307" customFormat="false" ht="43.25" hidden="false" customHeight="false" outlineLevel="0" collapsed="false">
      <c r="A307" s="2" t="s">
        <v>2494</v>
      </c>
      <c r="B307" s="2" t="s">
        <v>2495</v>
      </c>
      <c r="C307" s="12" t="s">
        <v>1578</v>
      </c>
      <c r="D307" s="2" t="s">
        <v>2496</v>
      </c>
      <c r="E307" s="2" t="s">
        <v>490</v>
      </c>
      <c r="F307" s="2" t="s">
        <v>77</v>
      </c>
      <c r="G307" s="2" t="s">
        <v>77</v>
      </c>
      <c r="H307" s="2" t="s">
        <v>1685</v>
      </c>
      <c r="I307" s="2" t="s">
        <v>492</v>
      </c>
      <c r="J307" s="2" t="s">
        <v>2165</v>
      </c>
      <c r="K307" s="2" t="s">
        <v>2497</v>
      </c>
      <c r="L307" s="2" t="s">
        <v>553</v>
      </c>
      <c r="M307" s="2" t="s">
        <v>114</v>
      </c>
      <c r="N307" s="2" t="s">
        <v>1677</v>
      </c>
      <c r="O307" s="2" t="s">
        <v>96</v>
      </c>
      <c r="P307" s="2" t="s">
        <v>1605</v>
      </c>
      <c r="Q307" s="2"/>
      <c r="R307" s="2" t="s">
        <v>2498</v>
      </c>
      <c r="S307" s="2" t="s">
        <v>2499</v>
      </c>
      <c r="T307" s="2" t="s">
        <v>2168</v>
      </c>
      <c r="U307" s="2"/>
      <c r="V307" s="7" t="s">
        <v>2500</v>
      </c>
    </row>
    <row r="308" customFormat="false" ht="43.25" hidden="false" customHeight="false" outlineLevel="0" collapsed="false">
      <c r="A308" s="2" t="s">
        <v>2501</v>
      </c>
      <c r="B308" s="2" t="s">
        <v>2502</v>
      </c>
      <c r="C308" s="12" t="s">
        <v>1578</v>
      </c>
      <c r="D308" s="2" t="s">
        <v>1699</v>
      </c>
      <c r="E308" s="2" t="s">
        <v>296</v>
      </c>
      <c r="F308" s="2" t="s">
        <v>77</v>
      </c>
      <c r="G308" s="2" t="s">
        <v>77</v>
      </c>
      <c r="H308" s="2" t="s">
        <v>656</v>
      </c>
      <c r="I308" s="2" t="s">
        <v>657</v>
      </c>
      <c r="J308" s="2" t="s">
        <v>2503</v>
      </c>
      <c r="K308" s="2" t="s">
        <v>1700</v>
      </c>
      <c r="L308" s="2" t="s">
        <v>553</v>
      </c>
      <c r="M308" s="2" t="s">
        <v>114</v>
      </c>
      <c r="N308" s="2" t="s">
        <v>1677</v>
      </c>
      <c r="O308" s="2" t="s">
        <v>96</v>
      </c>
      <c r="P308" s="2" t="s">
        <v>258</v>
      </c>
      <c r="Q308" s="2" t="s">
        <v>2504</v>
      </c>
      <c r="R308" s="2"/>
      <c r="S308" s="2" t="s">
        <v>1702</v>
      </c>
      <c r="T308" s="2" t="s">
        <v>1838</v>
      </c>
      <c r="U308" s="2"/>
      <c r="V308" s="2"/>
    </row>
    <row r="309" customFormat="false" ht="43.25" hidden="false" customHeight="false" outlineLevel="0" collapsed="false">
      <c r="A309" s="2" t="s">
        <v>2505</v>
      </c>
      <c r="B309" s="2" t="s">
        <v>2506</v>
      </c>
      <c r="C309" s="12" t="s">
        <v>1578</v>
      </c>
      <c r="D309" s="2" t="s">
        <v>1898</v>
      </c>
      <c r="E309" s="2" t="s">
        <v>296</v>
      </c>
      <c r="F309" s="2" t="s">
        <v>77</v>
      </c>
      <c r="G309" s="2" t="s">
        <v>77</v>
      </c>
      <c r="H309" s="2" t="s">
        <v>656</v>
      </c>
      <c r="I309" s="2" t="s">
        <v>96</v>
      </c>
      <c r="J309" s="2" t="s">
        <v>96</v>
      </c>
      <c r="K309" s="2" t="s">
        <v>1581</v>
      </c>
      <c r="L309" s="2" t="s">
        <v>553</v>
      </c>
      <c r="M309" s="2" t="s">
        <v>114</v>
      </c>
      <c r="N309" s="2" t="s">
        <v>1661</v>
      </c>
      <c r="O309" s="2" t="s">
        <v>96</v>
      </c>
      <c r="P309" s="2" t="s">
        <v>258</v>
      </c>
      <c r="Q309" s="2" t="s">
        <v>2507</v>
      </c>
      <c r="R309" s="2"/>
      <c r="S309" s="2" t="s">
        <v>1900</v>
      </c>
      <c r="T309" s="2" t="s">
        <v>1918</v>
      </c>
      <c r="U309" s="2"/>
      <c r="V309" s="2"/>
    </row>
    <row r="310" customFormat="false" ht="74.6" hidden="false" customHeight="false" outlineLevel="0" collapsed="false">
      <c r="A310" s="2" t="s">
        <v>2508</v>
      </c>
      <c r="B310" s="2" t="s">
        <v>2509</v>
      </c>
      <c r="C310" s="12" t="s">
        <v>1578</v>
      </c>
      <c r="D310" s="2" t="s">
        <v>1706</v>
      </c>
      <c r="E310" s="2" t="s">
        <v>1425</v>
      </c>
      <c r="F310" s="4" t="s">
        <v>27</v>
      </c>
      <c r="G310" s="2" t="s">
        <v>77</v>
      </c>
      <c r="H310" s="2" t="s">
        <v>1707</v>
      </c>
      <c r="I310" s="2" t="s">
        <v>96</v>
      </c>
      <c r="J310" s="2" t="s">
        <v>96</v>
      </c>
      <c r="K310" s="2" t="s">
        <v>1581</v>
      </c>
      <c r="L310" s="2" t="s">
        <v>553</v>
      </c>
      <c r="M310" s="2" t="s">
        <v>114</v>
      </c>
      <c r="N310" s="2" t="s">
        <v>381</v>
      </c>
      <c r="O310" s="2" t="s">
        <v>96</v>
      </c>
      <c r="P310" s="2" t="s">
        <v>258</v>
      </c>
      <c r="Q310" s="2" t="s">
        <v>1895</v>
      </c>
      <c r="R310" s="2" t="s">
        <v>1709</v>
      </c>
      <c r="S310" s="2" t="s">
        <v>1710</v>
      </c>
      <c r="T310" s="2" t="s">
        <v>1711</v>
      </c>
      <c r="U310" s="2"/>
      <c r="V310" s="2"/>
    </row>
    <row r="311" customFormat="false" ht="74.6" hidden="false" customHeight="false" outlineLevel="0" collapsed="false">
      <c r="A311" s="2" t="s">
        <v>2510</v>
      </c>
      <c r="B311" s="2" t="s">
        <v>2511</v>
      </c>
      <c r="C311" s="12" t="s">
        <v>1578</v>
      </c>
      <c r="D311" s="2" t="s">
        <v>1706</v>
      </c>
      <c r="E311" s="2" t="s">
        <v>1425</v>
      </c>
      <c r="F311" s="4" t="s">
        <v>27</v>
      </c>
      <c r="G311" s="2" t="s">
        <v>77</v>
      </c>
      <c r="H311" s="2" t="s">
        <v>1707</v>
      </c>
      <c r="I311" s="2" t="s">
        <v>96</v>
      </c>
      <c r="J311" s="2" t="s">
        <v>96</v>
      </c>
      <c r="K311" s="2" t="s">
        <v>1581</v>
      </c>
      <c r="L311" s="2" t="s">
        <v>553</v>
      </c>
      <c r="M311" s="2" t="s">
        <v>114</v>
      </c>
      <c r="N311" s="2" t="s">
        <v>381</v>
      </c>
      <c r="O311" s="2" t="s">
        <v>96</v>
      </c>
      <c r="P311" s="2" t="s">
        <v>258</v>
      </c>
      <c r="Q311" s="2" t="s">
        <v>1895</v>
      </c>
      <c r="R311" s="2" t="s">
        <v>1709</v>
      </c>
      <c r="S311" s="2" t="s">
        <v>1710</v>
      </c>
      <c r="T311" s="2" t="s">
        <v>1711</v>
      </c>
      <c r="U311" s="2"/>
      <c r="V311" s="2"/>
    </row>
    <row r="312" customFormat="false" ht="22.35" hidden="false" customHeight="false" outlineLevel="0" collapsed="false">
      <c r="A312" s="2" t="s">
        <v>2512</v>
      </c>
      <c r="B312" s="2" t="s">
        <v>2513</v>
      </c>
      <c r="C312" s="12" t="s">
        <v>1578</v>
      </c>
      <c r="D312" s="2" t="s">
        <v>2348</v>
      </c>
      <c r="E312" s="2" t="s">
        <v>210</v>
      </c>
      <c r="F312" s="4" t="s">
        <v>27</v>
      </c>
      <c r="G312" s="2" t="s">
        <v>77</v>
      </c>
      <c r="H312" s="2" t="s">
        <v>2349</v>
      </c>
      <c r="I312" s="2" t="s">
        <v>96</v>
      </c>
      <c r="J312" s="2" t="s">
        <v>96</v>
      </c>
      <c r="K312" s="2" t="s">
        <v>1581</v>
      </c>
      <c r="L312" s="2" t="s">
        <v>553</v>
      </c>
      <c r="M312" s="2" t="s">
        <v>114</v>
      </c>
      <c r="N312" s="2" t="s">
        <v>2192</v>
      </c>
      <c r="O312" s="2" t="s">
        <v>96</v>
      </c>
      <c r="P312" s="2" t="s">
        <v>258</v>
      </c>
      <c r="Q312" s="2" t="s">
        <v>2350</v>
      </c>
      <c r="R312" s="2" t="s">
        <v>2351</v>
      </c>
      <c r="S312" s="2"/>
      <c r="T312" s="2" t="s">
        <v>2195</v>
      </c>
      <c r="U312" s="2"/>
      <c r="V312" s="2"/>
    </row>
    <row r="313" customFormat="false" ht="53.7" hidden="false" customHeight="false" outlineLevel="0" collapsed="false">
      <c r="A313" s="2" t="s">
        <v>2514</v>
      </c>
      <c r="B313" s="2" t="s">
        <v>2515</v>
      </c>
      <c r="C313" s="12" t="s">
        <v>1578</v>
      </c>
      <c r="D313" s="2" t="s">
        <v>1699</v>
      </c>
      <c r="E313" s="2" t="s">
        <v>296</v>
      </c>
      <c r="F313" s="2" t="s">
        <v>77</v>
      </c>
      <c r="G313" s="2" t="s">
        <v>77</v>
      </c>
      <c r="H313" s="2" t="s">
        <v>656</v>
      </c>
      <c r="I313" s="2" t="s">
        <v>96</v>
      </c>
      <c r="J313" s="2" t="s">
        <v>96</v>
      </c>
      <c r="K313" s="2" t="s">
        <v>1700</v>
      </c>
      <c r="L313" s="2" t="s">
        <v>553</v>
      </c>
      <c r="M313" s="2" t="s">
        <v>114</v>
      </c>
      <c r="N313" s="2" t="s">
        <v>1677</v>
      </c>
      <c r="O313" s="2" t="s">
        <v>96</v>
      </c>
      <c r="P313" s="2" t="s">
        <v>258</v>
      </c>
      <c r="Q313" s="2" t="s">
        <v>2516</v>
      </c>
      <c r="R313" s="2"/>
      <c r="S313" s="2" t="s">
        <v>1702</v>
      </c>
      <c r="T313" s="2" t="s">
        <v>2517</v>
      </c>
      <c r="U313" s="2"/>
      <c r="V313" s="2"/>
    </row>
    <row r="314" customFormat="false" ht="74.6" hidden="false" customHeight="false" outlineLevel="0" collapsed="false">
      <c r="A314" s="2" t="s">
        <v>2518</v>
      </c>
      <c r="B314" s="2" t="s">
        <v>2519</v>
      </c>
      <c r="C314" s="12" t="s">
        <v>1578</v>
      </c>
      <c r="D314" s="2" t="s">
        <v>2520</v>
      </c>
      <c r="E314" s="2" t="s">
        <v>490</v>
      </c>
      <c r="F314" s="2" t="s">
        <v>77</v>
      </c>
      <c r="G314" s="2" t="s">
        <v>77</v>
      </c>
      <c r="H314" s="2" t="s">
        <v>1601</v>
      </c>
      <c r="I314" s="2" t="s">
        <v>492</v>
      </c>
      <c r="J314" s="2" t="s">
        <v>2521</v>
      </c>
      <c r="K314" s="2" t="s">
        <v>1591</v>
      </c>
      <c r="L314" s="2" t="s">
        <v>553</v>
      </c>
      <c r="M314" s="2" t="s">
        <v>114</v>
      </c>
      <c r="N314" s="2" t="s">
        <v>2522</v>
      </c>
      <c r="O314" s="2" t="s">
        <v>96</v>
      </c>
      <c r="P314" s="2" t="s">
        <v>1592</v>
      </c>
      <c r="Q314" s="2" t="s">
        <v>2523</v>
      </c>
      <c r="R314" s="2" t="s">
        <v>2524</v>
      </c>
      <c r="S314" s="2" t="s">
        <v>2525</v>
      </c>
      <c r="T314" s="2" t="s">
        <v>2526</v>
      </c>
      <c r="U314" s="2"/>
      <c r="V314" s="7" t="s">
        <v>2527</v>
      </c>
    </row>
    <row r="315" customFormat="false" ht="43.25" hidden="false" customHeight="false" outlineLevel="0" collapsed="false">
      <c r="A315" s="2" t="s">
        <v>2528</v>
      </c>
      <c r="B315" s="2" t="s">
        <v>2529</v>
      </c>
      <c r="C315" s="12" t="s">
        <v>1578</v>
      </c>
      <c r="D315" s="2" t="s">
        <v>2530</v>
      </c>
      <c r="E315" s="2" t="s">
        <v>490</v>
      </c>
      <c r="F315" s="2" t="s">
        <v>77</v>
      </c>
      <c r="G315" s="2" t="s">
        <v>77</v>
      </c>
      <c r="H315" s="2" t="s">
        <v>1601</v>
      </c>
      <c r="I315" s="2" t="s">
        <v>492</v>
      </c>
      <c r="J315" s="2" t="s">
        <v>2531</v>
      </c>
      <c r="K315" s="2" t="s">
        <v>1591</v>
      </c>
      <c r="L315" s="2" t="s">
        <v>553</v>
      </c>
      <c r="M315" s="2" t="s">
        <v>114</v>
      </c>
      <c r="N315" s="2" t="s">
        <v>2522</v>
      </c>
      <c r="O315" s="2" t="s">
        <v>96</v>
      </c>
      <c r="P315" s="2" t="s">
        <v>1592</v>
      </c>
      <c r="Q315" s="2" t="s">
        <v>2532</v>
      </c>
      <c r="R315" s="2" t="s">
        <v>2533</v>
      </c>
      <c r="S315" s="2" t="s">
        <v>2534</v>
      </c>
      <c r="T315" s="2" t="s">
        <v>2535</v>
      </c>
      <c r="U315" s="2"/>
      <c r="V315" s="7" t="s">
        <v>2527</v>
      </c>
    </row>
    <row r="316" customFormat="false" ht="116.4" hidden="false" customHeight="false" outlineLevel="0" collapsed="false">
      <c r="A316" s="2" t="s">
        <v>2536</v>
      </c>
      <c r="B316" s="2" t="s">
        <v>2537</v>
      </c>
      <c r="C316" s="12" t="s">
        <v>1578</v>
      </c>
      <c r="D316" s="2" t="s">
        <v>2538</v>
      </c>
      <c r="E316" s="2" t="s">
        <v>490</v>
      </c>
      <c r="F316" s="2" t="s">
        <v>77</v>
      </c>
      <c r="G316" s="2" t="s">
        <v>77</v>
      </c>
      <c r="H316" s="2" t="s">
        <v>1601</v>
      </c>
      <c r="I316" s="2" t="s">
        <v>492</v>
      </c>
      <c r="J316" s="2" t="s">
        <v>2539</v>
      </c>
      <c r="K316" s="2" t="s">
        <v>2540</v>
      </c>
      <c r="L316" s="2" t="s">
        <v>553</v>
      </c>
      <c r="M316" s="2" t="s">
        <v>114</v>
      </c>
      <c r="N316" s="2" t="s">
        <v>2541</v>
      </c>
      <c r="O316" s="2" t="s">
        <v>96</v>
      </c>
      <c r="P316" s="2" t="s">
        <v>1592</v>
      </c>
      <c r="Q316" s="2" t="s">
        <v>2542</v>
      </c>
      <c r="R316" s="2" t="s">
        <v>2543</v>
      </c>
      <c r="S316" s="2" t="s">
        <v>2544</v>
      </c>
      <c r="T316" s="2" t="s">
        <v>2545</v>
      </c>
      <c r="U316" s="2"/>
      <c r="V316" s="7" t="s">
        <v>2546</v>
      </c>
    </row>
    <row r="317" customFormat="false" ht="53.7" hidden="false" customHeight="false" outlineLevel="0" collapsed="false">
      <c r="A317" s="2" t="s">
        <v>2547</v>
      </c>
      <c r="B317" s="2" t="s">
        <v>2548</v>
      </c>
      <c r="C317" s="12" t="s">
        <v>1578</v>
      </c>
      <c r="D317" s="2" t="s">
        <v>2549</v>
      </c>
      <c r="E317" s="2" t="s">
        <v>76</v>
      </c>
      <c r="F317" s="2" t="s">
        <v>77</v>
      </c>
      <c r="G317" s="2" t="s">
        <v>77</v>
      </c>
      <c r="H317" s="2" t="s">
        <v>2550</v>
      </c>
      <c r="I317" s="2" t="s">
        <v>1053</v>
      </c>
      <c r="J317" s="2" t="s">
        <v>1053</v>
      </c>
      <c r="K317" s="2" t="s">
        <v>81</v>
      </c>
      <c r="L317" s="2" t="s">
        <v>553</v>
      </c>
      <c r="M317" s="2" t="s">
        <v>114</v>
      </c>
      <c r="N317" s="2" t="s">
        <v>381</v>
      </c>
      <c r="O317" s="2" t="s">
        <v>96</v>
      </c>
      <c r="P317" s="2" t="s">
        <v>1053</v>
      </c>
      <c r="Q317" s="2" t="s">
        <v>2551</v>
      </c>
      <c r="R317" s="2" t="s">
        <v>2552</v>
      </c>
      <c r="S317" s="2" t="s">
        <v>2553</v>
      </c>
      <c r="T317" s="2" t="s">
        <v>1617</v>
      </c>
      <c r="U317" s="2"/>
      <c r="V317" s="7" t="s">
        <v>2554</v>
      </c>
    </row>
    <row r="318" customFormat="false" ht="74.6" hidden="false" customHeight="false" outlineLevel="0" collapsed="false">
      <c r="A318" s="2" t="s">
        <v>2555</v>
      </c>
      <c r="B318" s="2" t="s">
        <v>2556</v>
      </c>
      <c r="C318" s="12" t="s">
        <v>1578</v>
      </c>
      <c r="D318" s="2" t="s">
        <v>1706</v>
      </c>
      <c r="E318" s="2" t="s">
        <v>1425</v>
      </c>
      <c r="F318" s="4" t="s">
        <v>27</v>
      </c>
      <c r="G318" s="2" t="s">
        <v>77</v>
      </c>
      <c r="H318" s="2" t="s">
        <v>1707</v>
      </c>
      <c r="I318" s="2" t="s">
        <v>96</v>
      </c>
      <c r="J318" s="2" t="s">
        <v>96</v>
      </c>
      <c r="K318" s="2" t="s">
        <v>1581</v>
      </c>
      <c r="L318" s="2" t="s">
        <v>553</v>
      </c>
      <c r="M318" s="2" t="s">
        <v>114</v>
      </c>
      <c r="N318" s="2" t="s">
        <v>381</v>
      </c>
      <c r="O318" s="2" t="s">
        <v>96</v>
      </c>
      <c r="P318" s="2" t="s">
        <v>258</v>
      </c>
      <c r="Q318" s="2" t="s">
        <v>2557</v>
      </c>
      <c r="R318" s="2" t="s">
        <v>1709</v>
      </c>
      <c r="S318" s="2" t="s">
        <v>1710</v>
      </c>
      <c r="T318" s="2" t="s">
        <v>1711</v>
      </c>
      <c r="U318" s="2"/>
      <c r="V318" s="2"/>
    </row>
  </sheetData>
  <autoFilter ref="A1:V3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4"/>
    <col collapsed="false" customWidth="true" hidden="false" outlineLevel="0" max="3" min="3" style="0" width="12"/>
    <col collapsed="false" customWidth="true" hidden="false" outlineLevel="0" max="4" min="4" style="0" width="14"/>
  </cols>
  <sheetData>
    <row r="1" customFormat="false" ht="17.35" hidden="false" customHeight="false" outlineLevel="0" collapsed="false">
      <c r="A1" s="13" t="s">
        <v>2558</v>
      </c>
    </row>
    <row r="2" customFormat="false" ht="15" hidden="false" customHeight="false" outlineLevel="0" collapsed="false">
      <c r="A2" s="14" t="s">
        <v>2559</v>
      </c>
    </row>
    <row r="4" customFormat="false" ht="15" hidden="false" customHeight="false" outlineLevel="0" collapsed="false">
      <c r="A4" s="15" t="s">
        <v>2</v>
      </c>
      <c r="B4" s="15" t="s">
        <v>2560</v>
      </c>
      <c r="C4" s="15" t="s">
        <v>2561</v>
      </c>
      <c r="D4" s="15" t="s">
        <v>2562</v>
      </c>
    </row>
    <row r="5" customFormat="false" ht="15" hidden="false" customHeight="false" outlineLevel="0" collapsed="false">
      <c r="A5" s="16" t="s">
        <v>2563</v>
      </c>
      <c r="B5" s="17" t="s">
        <v>2564</v>
      </c>
      <c r="C5" s="18" t="n">
        <f aca="false">COUNTIF(Registry!C:C,"T1 — Convicted / Charged")</f>
        <v>3</v>
      </c>
      <c r="D5" s="19" t="n">
        <f aca="false">IF($C$12=0,0,C5/$C$12)</f>
        <v>0.00946372239747634</v>
      </c>
    </row>
    <row r="6" customFormat="false" ht="15" hidden="false" customHeight="false" outlineLevel="0" collapsed="false">
      <c r="A6" s="20" t="s">
        <v>2565</v>
      </c>
      <c r="B6" s="17" t="s">
        <v>2566</v>
      </c>
      <c r="C6" s="18" t="n">
        <f aca="false">COUNTIF(Registry!C:C,"T1J — Journal-Named, Contested")</f>
        <v>10</v>
      </c>
      <c r="D6" s="19" t="n">
        <f aca="false">IF($C$12=0,0,C6/$C$12)</f>
        <v>0.0315457413249211</v>
      </c>
    </row>
    <row r="7" customFormat="false" ht="15" hidden="false" customHeight="false" outlineLevel="0" collapsed="false">
      <c r="A7" s="21" t="s">
        <v>2567</v>
      </c>
      <c r="B7" s="17" t="s">
        <v>2568</v>
      </c>
      <c r="C7" s="18" t="n">
        <f aca="false">COUNTIF(Registry!C:C,"T2 — NPA Co-Conspirator (Immunity)")</f>
        <v>4</v>
      </c>
      <c r="D7" s="19" t="n">
        <f aca="false">IF($C$12=0,0,C7/$C$12)</f>
        <v>0.0126182965299685</v>
      </c>
    </row>
    <row r="8" customFormat="false" ht="15" hidden="false" customHeight="false" outlineLevel="0" collapsed="false">
      <c r="A8" s="22" t="s">
        <v>2569</v>
      </c>
      <c r="B8" s="17" t="s">
        <v>2570</v>
      </c>
      <c r="C8" s="18" t="n">
        <f aca="false">COUNTIF(Registry!C:C,"T3 — Concerning Conduct, Never Charged")</f>
        <v>29</v>
      </c>
      <c r="D8" s="19" t="n">
        <f aca="false">IF($C$12=0,0,C8/$C$12)</f>
        <v>0.0914826498422713</v>
      </c>
    </row>
    <row r="9" customFormat="false" ht="15" hidden="false" customHeight="false" outlineLevel="0" collapsed="false">
      <c r="A9" s="23" t="s">
        <v>2571</v>
      </c>
      <c r="B9" s="17" t="s">
        <v>2572</v>
      </c>
      <c r="C9" s="18" t="n">
        <f aca="false">COUNTIF(Registry!C:C,"T4 — Documented Contact Only")</f>
        <v>49</v>
      </c>
      <c r="D9" s="19" t="n">
        <f aca="false">IF($C$12=0,0,C9/$C$12)</f>
        <v>0.154574132492114</v>
      </c>
    </row>
    <row r="10" customFormat="false" ht="15" hidden="false" customHeight="false" outlineLevel="0" collapsed="false">
      <c r="A10" s="24" t="s">
        <v>2573</v>
      </c>
      <c r="B10" s="17" t="s">
        <v>2574</v>
      </c>
      <c r="C10" s="18" t="n">
        <f aca="false">COUNTIF(Registry!C:C,"T5 — Victim / Witness")</f>
        <v>69</v>
      </c>
      <c r="D10" s="19" t="n">
        <f aca="false">IF($C$12=0,0,C10/$C$12)</f>
        <v>0.217665615141956</v>
      </c>
    </row>
    <row r="11" customFormat="false" ht="15" hidden="false" customHeight="false" outlineLevel="0" collapsed="false">
      <c r="A11" s="25" t="s">
        <v>2575</v>
      </c>
      <c r="B11" s="17" t="s">
        <v>2576</v>
      </c>
      <c r="C11" s="18" t="n">
        <f aca="false">COUNTIF(Registry!C:C,"T6 — Staff / Legal / Law Enforcement")</f>
        <v>153</v>
      </c>
      <c r="D11" s="19" t="n">
        <f aca="false">IF($C$12=0,0,C11/$C$12)</f>
        <v>0.482649842271293</v>
      </c>
    </row>
    <row r="12" customFormat="false" ht="15" hidden="false" customHeight="false" outlineLevel="0" collapsed="false">
      <c r="B12" s="26" t="s">
        <v>2577</v>
      </c>
      <c r="C12" s="26" t="n">
        <f aca="false">SUM(C5:C11)</f>
        <v>317</v>
      </c>
    </row>
    <row r="14" customFormat="false" ht="15" hidden="false" customHeight="false" outlineLevel="0" collapsed="false">
      <c r="A14" s="26" t="s">
        <v>2578</v>
      </c>
    </row>
    <row r="15" customFormat="false" ht="15" hidden="false" customHeight="false" outlineLevel="0" collapsed="false">
      <c r="B15" s="17" t="s">
        <v>2579</v>
      </c>
      <c r="C15" s="18" t="n">
        <f aca="false">COUNTIF(Registry!F:F,"YES")</f>
        <v>64</v>
      </c>
    </row>
    <row r="16" customFormat="false" ht="15" hidden="false" customHeight="false" outlineLevel="0" collapsed="false">
      <c r="B16" s="17" t="s">
        <v>2580</v>
      </c>
      <c r="C16" s="18" t="n">
        <f aca="false">COUNTIF(Registry!G:G,"YES")</f>
        <v>20</v>
      </c>
    </row>
    <row r="17" customFormat="false" ht="15" hidden="false" customHeight="false" outlineLevel="0" collapsed="false">
      <c r="B17" s="17" t="s">
        <v>2581</v>
      </c>
      <c r="C17" s="18" t="n">
        <f aca="false">COUNTIF(Registry!V:V,"&lt;&gt;")</f>
        <v>120</v>
      </c>
    </row>
    <row r="19" customFormat="false" ht="15" hidden="false" customHeight="false" outlineLevel="0" collapsed="false">
      <c r="A19" s="27" t="s">
        <v>2582</v>
      </c>
    </row>
    <row r="20" customFormat="false" ht="15" hidden="false" customHeight="false" outlineLevel="0" collapsed="false">
      <c r="A20" s="17" t="s">
        <v>2583</v>
      </c>
    </row>
    <row r="21" customFormat="false" ht="15" hidden="false" customHeight="false" outlineLevel="0" collapsed="false">
      <c r="A21" s="17" t="s">
        <v>2584</v>
      </c>
    </row>
    <row r="22" customFormat="false" ht="15" hidden="false" customHeight="false" outlineLevel="0" collapsed="false">
      <c r="A22" s="17" t="s">
        <v>2585</v>
      </c>
    </row>
    <row r="23" customFormat="false" ht="15" hidden="false" customHeight="false" outlineLevel="0" collapsed="false">
      <c r="A23" s="17" t="s">
        <v>2586</v>
      </c>
    </row>
    <row r="24" customFormat="false" ht="15" hidden="false" customHeight="false" outlineLevel="0" collapsed="false">
      <c r="A24" s="17" t="s">
        <v>2587</v>
      </c>
    </row>
    <row r="25" customFormat="false" ht="15" hidden="false" customHeight="false" outlineLevel="0" collapsed="false">
      <c r="A25" s="17" t="s">
        <v>2588</v>
      </c>
    </row>
    <row r="26" customFormat="false" ht="15" hidden="false" customHeight="false" outlineLevel="0" collapsed="false">
      <c r="A26" s="17" t="s">
        <v>2589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2026-08-02T06:55:28Z</dcterms:created>
  <dc:creator>openpyxl</dc:creator>
  <dc:description/>
  <dc:language>en-US</dc:language>
  <cp:lastModifiedBy/>
  <dcterms:modified xsi:type="dcterms:W3CDTF">2026-08-02T06:55:28Z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